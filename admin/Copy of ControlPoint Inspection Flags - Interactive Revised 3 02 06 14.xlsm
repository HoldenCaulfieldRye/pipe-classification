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1835" yWindow="2070" windowWidth="15600" windowHeight="8055"/>
  </bookViews>
  <sheets>
    <sheet name="New Interactive" sheetId="1" r:id="rId1"/>
    <sheet name="JCI Breakdown" sheetId="5" state="hidden" r:id="rId2"/>
    <sheet name="Data New" sheetId="2" state="hidden" r:id="rId3"/>
    <sheet name="Interactive Old" sheetId="3" state="hidden" r:id="rId4"/>
    <sheet name="Data Old" sheetId="4" state="hidden" r:id="rId5"/>
  </sheets>
  <externalReferences>
    <externalReference r:id="rId6"/>
  </externalReferences>
  <definedNames>
    <definedName name="_xlnm.Print_Area" localSheetId="3">'Interactive Old'!$A$2:$O$24</definedName>
    <definedName name="_xlnm.Print_Area" localSheetId="1">'JCI Breakdown'!$A$1:$G$26</definedName>
    <definedName name="_xlnm.Print_Area" localSheetId="0">'New Interactive'!$A$2:$O$24</definedName>
  </definedNames>
  <calcPr calcId="145621"/>
</workbook>
</file>

<file path=xl/calcChain.xml><?xml version="1.0" encoding="utf-8"?>
<calcChain xmlns="http://schemas.openxmlformats.org/spreadsheetml/2006/main">
  <c r="C46" i="2" l="1"/>
  <c r="C14" i="1"/>
  <c r="C16" i="1" l="1"/>
  <c r="D8" i="3" l="1"/>
  <c r="D5" i="3"/>
  <c r="D3" i="3"/>
  <c r="U32" i="2" l="1"/>
  <c r="T32" i="2"/>
  <c r="S32" i="2"/>
  <c r="R32" i="2"/>
  <c r="Q32" i="2"/>
  <c r="U31" i="2"/>
  <c r="T31" i="2"/>
  <c r="S31" i="2"/>
  <c r="R31" i="2"/>
  <c r="Q31" i="2"/>
  <c r="U30" i="2"/>
  <c r="T30" i="2"/>
  <c r="S30" i="2"/>
  <c r="R30" i="2"/>
  <c r="Q30" i="2"/>
  <c r="U29" i="2"/>
  <c r="T29" i="2"/>
  <c r="S29" i="2"/>
  <c r="R29" i="2"/>
  <c r="Q29" i="2"/>
  <c r="U28" i="2"/>
  <c r="T28" i="2"/>
  <c r="S28" i="2"/>
  <c r="R28" i="2"/>
  <c r="Q28" i="2"/>
  <c r="U27" i="2"/>
  <c r="T27" i="2"/>
  <c r="S27" i="2"/>
  <c r="R27" i="2"/>
  <c r="Q27" i="2"/>
  <c r="E50" i="2"/>
  <c r="F50" i="2"/>
  <c r="H50" i="2"/>
  <c r="C42" i="2"/>
  <c r="C43" i="2"/>
  <c r="C44" i="2"/>
  <c r="C45" i="2"/>
  <c r="C47" i="2"/>
  <c r="C17" i="1"/>
  <c r="C10" i="1"/>
  <c r="E30" i="2"/>
  <c r="E31" i="2"/>
  <c r="E32" i="2"/>
  <c r="E33" i="2"/>
  <c r="E34" i="2"/>
  <c r="E29" i="2"/>
  <c r="G50" i="2" s="1"/>
  <c r="F30" i="2"/>
  <c r="F31" i="2"/>
  <c r="F32" i="2"/>
  <c r="F33" i="2"/>
  <c r="F34" i="2"/>
  <c r="F29" i="2"/>
  <c r="G30" i="2"/>
  <c r="G31" i="2"/>
  <c r="G32" i="2"/>
  <c r="G33" i="2"/>
  <c r="G34" i="2"/>
  <c r="G29" i="2"/>
  <c r="H30" i="2"/>
  <c r="H31" i="2"/>
  <c r="H32" i="2"/>
  <c r="H33" i="2"/>
  <c r="H34" i="2"/>
  <c r="H29" i="2"/>
  <c r="D50" i="2" s="1"/>
  <c r="C40" i="2" l="1"/>
  <c r="D40" i="2" s="1"/>
  <c r="C13" i="1" s="1"/>
  <c r="I30" i="2"/>
  <c r="I31" i="2"/>
  <c r="I32" i="2"/>
  <c r="I33" i="2"/>
  <c r="I34" i="2"/>
  <c r="I29" i="2"/>
  <c r="C50" i="2" s="1"/>
  <c r="C18" i="1" l="1"/>
  <c r="D21" i="3" l="1"/>
  <c r="C21" i="3" s="1"/>
  <c r="D19" i="3"/>
  <c r="C19" i="3" s="1"/>
  <c r="D18" i="3"/>
  <c r="C18" i="3" s="1"/>
  <c r="D17" i="3"/>
  <c r="C17" i="3" s="1"/>
  <c r="D15" i="3"/>
  <c r="C15" i="3" s="1"/>
  <c r="D14" i="3"/>
  <c r="C14" i="3" s="1"/>
  <c r="D12" i="3"/>
  <c r="C12" i="3" s="1"/>
  <c r="D11" i="3"/>
  <c r="C11" i="3" s="1"/>
  <c r="D10" i="3"/>
  <c r="C10" i="3" s="1"/>
  <c r="D9" i="3"/>
  <c r="C9" i="3" s="1"/>
  <c r="C8" i="3"/>
  <c r="D6" i="3"/>
  <c r="C6" i="3" s="1"/>
  <c r="C5" i="3"/>
  <c r="D4" i="3"/>
  <c r="C4" i="3" s="1"/>
  <c r="C3" i="3"/>
  <c r="C24" i="3" l="1"/>
  <c r="C23" i="3" s="1"/>
  <c r="C21" i="1"/>
  <c r="C19" i="1"/>
  <c r="C12" i="1"/>
  <c r="C11" i="1"/>
  <c r="C8" i="1"/>
  <c r="C5" i="1"/>
  <c r="E3" i="4" l="1"/>
  <c r="C15" i="1"/>
  <c r="C3" i="1"/>
  <c r="C6" i="1"/>
  <c r="C9" i="1" l="1"/>
  <c r="C4" i="1"/>
  <c r="C24" i="1" l="1"/>
  <c r="C23" i="1" s="1"/>
  <c r="G19" i="1" s="1"/>
  <c r="L15" i="1" l="1"/>
  <c r="E3" i="2"/>
  <c r="L15" i="3"/>
  <c r="G23" i="3" l="1"/>
</calcChain>
</file>

<file path=xl/sharedStrings.xml><?xml version="1.0" encoding="utf-8"?>
<sst xmlns="http://schemas.openxmlformats.org/spreadsheetml/2006/main" count="118" uniqueCount="64">
  <si>
    <t>Value</t>
  </si>
  <si>
    <t>Flag Description</t>
  </si>
  <si>
    <t>Start</t>
  </si>
  <si>
    <t>Red</t>
  </si>
  <si>
    <t>Green</t>
  </si>
  <si>
    <t>End</t>
  </si>
  <si>
    <t>Amber</t>
  </si>
  <si>
    <t>Blue</t>
  </si>
  <si>
    <t xml:space="preserve">Gauge </t>
  </si>
  <si>
    <t>Pointer</t>
  </si>
  <si>
    <t>Ranges</t>
  </si>
  <si>
    <t>JCI Score</t>
  </si>
  <si>
    <t>Cut out joint (Text message and email sent to gang supervisor)</t>
  </si>
  <si>
    <t>Actions</t>
  </si>
  <si>
    <t>Action:</t>
  </si>
  <si>
    <t>Inadequate or incorrect clamping</t>
  </si>
  <si>
    <t>Photo does not show enough of clamps</t>
  </si>
  <si>
    <t>No visible hatch markings</t>
  </si>
  <si>
    <t>Unsuitable scraping or peeling</t>
  </si>
  <si>
    <t>Photo does not show enough of scrape zones</t>
  </si>
  <si>
    <t>No insertion depth markings</t>
  </si>
  <si>
    <t>Fitting Proximity</t>
  </si>
  <si>
    <t>No ground sheet</t>
  </si>
  <si>
    <t>Other</t>
  </si>
  <si>
    <t>No clamps used</t>
  </si>
  <si>
    <t>Joint Misaligned</t>
  </si>
  <si>
    <t>No visible evidence of scraping or peeling</t>
  </si>
  <si>
    <t>Water contamination risk</t>
  </si>
  <si>
    <t>Soil contamination risk</t>
  </si>
  <si>
    <t>Unsuitable photo</t>
  </si>
  <si>
    <t>Before</t>
  </si>
  <si>
    <t>After</t>
  </si>
  <si>
    <t>N/A</t>
  </si>
  <si>
    <t>Total</t>
  </si>
  <si>
    <t>JCI Scoring System</t>
  </si>
  <si>
    <t>Minor</t>
  </si>
  <si>
    <t>Major</t>
  </si>
  <si>
    <t>Major Sum</t>
  </si>
  <si>
    <t>Instances</t>
  </si>
  <si>
    <t>Good Joint (no action required)</t>
  </si>
  <si>
    <t>Perfect Joint (no action required)</t>
  </si>
  <si>
    <t>Joint alert (Text message/email sent to gang supervisor)</t>
  </si>
  <si>
    <t>Total Joint Point Score</t>
  </si>
  <si>
    <t>Total Joint Score</t>
  </si>
  <si>
    <t>Text message/email sent to gang supervisor</t>
  </si>
  <si>
    <t>No action required</t>
  </si>
  <si>
    <t>Multiples</t>
  </si>
  <si>
    <t xml:space="preserve"> Individule Value</t>
  </si>
  <si>
    <t>Old</t>
  </si>
  <si>
    <t>New</t>
  </si>
  <si>
    <t>Unsuitable Photo</t>
  </si>
  <si>
    <t>JCI (Joint Confidence Index) Scoring System</t>
  </si>
  <si>
    <t>Number of Instances</t>
  </si>
  <si>
    <t>Critical Flags</t>
  </si>
  <si>
    <t>Inadequate or Incorrect Clamping</t>
  </si>
  <si>
    <t>No Clamps Used</t>
  </si>
  <si>
    <t>Water Contamination Risk</t>
  </si>
  <si>
    <t>Medium Flags</t>
  </si>
  <si>
    <t>Non Critical Flags</t>
  </si>
  <si>
    <t>No visible hatch marking</t>
  </si>
  <si>
    <t xml:space="preserve">No ground sheet </t>
  </si>
  <si>
    <t>Soil Contamination Risk Low</t>
  </si>
  <si>
    <t>Soil Contamination Risk High</t>
  </si>
  <si>
    <t>JCI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</si>
</sst>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u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ABE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/>
    <xf numFmtId="0" fontId="3" fillId="0" borderId="0" xfId="0" applyFont="1"/>
    <xf numFmtId="0" fontId="1" fillId="0" borderId="0" xfId="0" applyFont="1"/>
    <xf numFmtId="0" fontId="5" fillId="0" borderId="0" xfId="0" applyFont="1"/>
    <xf numFmtId="0" fontId="5" fillId="0" borderId="0" xfId="0" applyFont="1" applyAlignment="1">
      <alignment horizontal="right"/>
    </xf>
    <xf numFmtId="0" fontId="6" fillId="0" borderId="0" xfId="0" applyFont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0" fillId="2" borderId="0" xfId="0" applyFill="1"/>
    <xf numFmtId="0" fontId="2" fillId="0" borderId="0" xfId="0" applyFont="1" applyAlignment="1">
      <alignment horizontal="center" vertical="center"/>
    </xf>
    <xf numFmtId="0" fontId="0" fillId="4" borderId="0" xfId="0" applyFill="1"/>
    <xf numFmtId="9" fontId="8" fillId="0" borderId="1" xfId="0" applyNumberFormat="1" applyFont="1" applyBorder="1" applyAlignment="1">
      <alignment horizontal="center" vertical="center"/>
    </xf>
    <xf numFmtId="0" fontId="0" fillId="3" borderId="0" xfId="0" applyFill="1"/>
    <xf numFmtId="0" fontId="0" fillId="5" borderId="0" xfId="0" applyFill="1"/>
    <xf numFmtId="0" fontId="6" fillId="0" borderId="0" xfId="0" applyFont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vertical="center" textRotation="90"/>
    </xf>
    <xf numFmtId="0" fontId="0" fillId="0" borderId="0" xfId="0" applyFill="1"/>
    <xf numFmtId="0" fontId="2" fillId="0" borderId="0" xfId="0" applyFont="1" applyFill="1"/>
    <xf numFmtId="0" fontId="2" fillId="0" borderId="0" xfId="0" applyFont="1" applyFill="1" applyAlignment="1">
      <alignment vertical="center" textRotation="90"/>
    </xf>
    <xf numFmtId="0" fontId="0" fillId="0" borderId="0" xfId="0" applyAlignment="1">
      <alignment horizontal="left"/>
    </xf>
    <xf numFmtId="0" fontId="7" fillId="0" borderId="0" xfId="0" applyFont="1" applyBorder="1" applyAlignment="1"/>
    <xf numFmtId="0" fontId="7" fillId="0" borderId="0" xfId="0" applyFont="1"/>
    <xf numFmtId="0" fontId="3" fillId="0" borderId="0" xfId="0" applyFont="1" applyAlignment="1">
      <alignment horizontal="center"/>
    </xf>
    <xf numFmtId="0" fontId="9" fillId="0" borderId="0" xfId="0" applyFont="1"/>
    <xf numFmtId="0" fontId="2" fillId="0" borderId="5" xfId="0" applyFont="1" applyBorder="1"/>
    <xf numFmtId="0" fontId="2" fillId="6" borderId="0" xfId="0" applyFont="1" applyFill="1" applyAlignment="1">
      <alignment vertical="center" textRotation="90"/>
    </xf>
    <xf numFmtId="0" fontId="0" fillId="0" borderId="0" xfId="0" applyProtection="1">
      <protection locked="0"/>
    </xf>
    <xf numFmtId="0" fontId="11" fillId="0" borderId="0" xfId="0" applyFont="1" applyBorder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8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0" xfId="0" applyFont="1" applyFill="1" applyAlignment="1">
      <alignment horizontal="center" vertical="center" textRotation="90"/>
    </xf>
    <xf numFmtId="0" fontId="2" fillId="5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18">
    <dxf>
      <font>
        <color auto="1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auto="1"/>
      </font>
      <fill>
        <patternFill patternType="solid"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auto="1"/>
      </font>
      <fill>
        <patternFill patternType="solid">
          <bgColor rgb="FFFFC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ABE00"/>
      <color rgb="FFFFE6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627110525211496E-2"/>
          <c:y val="0"/>
          <c:w val="0.68521102283029101"/>
          <c:h val="1"/>
        </c:manualLayout>
      </c:layout>
      <c:doughnutChart>
        <c:varyColors val="1"/>
        <c:ser>
          <c:idx val="0"/>
          <c:order val="1"/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C000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Pt>
            <c:idx val="4"/>
            <c:bubble3D val="0"/>
            <c:spPr>
              <a:solidFill>
                <a:srgbClr val="0070C0"/>
              </a:solidFill>
            </c:spPr>
          </c:dPt>
          <c:dPt>
            <c:idx val="5"/>
            <c:bubble3D val="0"/>
            <c:spPr>
              <a:noFill/>
            </c:spPr>
          </c:dPt>
          <c:cat>
            <c:strRef>
              <c:f>'Data New'!$A$3:$A$8</c:f>
              <c:strCache>
                <c:ptCount val="6"/>
                <c:pt idx="0">
                  <c:v>Start</c:v>
                </c:pt>
                <c:pt idx="1">
                  <c:v>Red</c:v>
                </c:pt>
                <c:pt idx="2">
                  <c:v>Amber</c:v>
                </c:pt>
                <c:pt idx="3">
                  <c:v>Green</c:v>
                </c:pt>
                <c:pt idx="4">
                  <c:v>Blue</c:v>
                </c:pt>
                <c:pt idx="5">
                  <c:v>End</c:v>
                </c:pt>
              </c:strCache>
            </c:strRef>
          </c:cat>
          <c:val>
            <c:numRef>
              <c:f>'Data New'!$B$3:$B$8</c:f>
              <c:numCache>
                <c:formatCode>General</c:formatCode>
                <c:ptCount val="6"/>
                <c:pt idx="0">
                  <c:v>0</c:v>
                </c:pt>
                <c:pt idx="1">
                  <c:v>67</c:v>
                </c:pt>
                <c:pt idx="2">
                  <c:v>24.5</c:v>
                </c:pt>
                <c:pt idx="3">
                  <c:v>6</c:v>
                </c:pt>
                <c:pt idx="4">
                  <c:v>2.5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6"/>
      </c:doughnutChart>
      <c:pieChart>
        <c:varyColors val="1"/>
        <c:ser>
          <c:idx val="1"/>
          <c:order val="0"/>
          <c:spPr>
            <a:solidFill>
              <a:schemeClr val="accent1"/>
            </a:solidFill>
          </c:spPr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tx1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'Data New'!$E$3:$E$5</c:f>
              <c:numCache>
                <c:formatCode>General</c:formatCode>
                <c:ptCount val="3"/>
                <c:pt idx="0">
                  <c:v>100</c:v>
                </c:pt>
                <c:pt idx="1">
                  <c:v>1</c:v>
                </c:pt>
                <c:pt idx="2">
                  <c:v>100</c:v>
                </c:pt>
              </c:numCache>
            </c:numRef>
          </c:val>
        </c:ser>
        <c:ser>
          <c:idx val="2"/>
          <c:order val="2"/>
          <c:cat>
            <c:numRef>
              <c:f>'New Interactive'!$G$23</c:f>
              <c:numCache>
                <c:formatCode>General</c:formatCode>
                <c:ptCount val="1"/>
              </c:numCache>
            </c:numRef>
          </c:cat>
          <c:val>
            <c:numRef>
              <c:f>'New Interactive'!$H$23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cat>
            <c:numRef>
              <c:f>'New Interactive'!$G$23</c:f>
              <c:numCache>
                <c:formatCode>General</c:formatCode>
                <c:ptCount val="1"/>
              </c:numCache>
            </c:numRef>
          </c:cat>
          <c:val>
            <c:numRef>
              <c:f>'New Interactive'!$I$23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cat>
            <c:numRef>
              <c:f>'New Interactive'!$G$23</c:f>
              <c:numCache>
                <c:formatCode>General</c:formatCode>
                <c:ptCount val="1"/>
              </c:numCache>
            </c:numRef>
          </c:cat>
          <c:val>
            <c:numRef>
              <c:f>'New Interactive'!$J$23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cat>
            <c:numRef>
              <c:f>'New Interactive'!$G$23</c:f>
              <c:numCache>
                <c:formatCode>General</c:formatCode>
                <c:ptCount val="1"/>
              </c:numCache>
            </c:numRef>
          </c:cat>
          <c:val>
            <c:numRef>
              <c:f>'New Interactive'!$K$23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cat>
            <c:numRef>
              <c:f>'New Interactive'!$G$23</c:f>
              <c:numCache>
                <c:formatCode>General</c:formatCode>
                <c:ptCount val="1"/>
              </c:numCache>
            </c:numRef>
          </c:cat>
          <c:val>
            <c:numRef>
              <c:f>'New Interactive'!$L$23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1"/>
          <c:order val="0"/>
          <c:spPr>
            <a:solidFill>
              <a:schemeClr val="accent1"/>
            </a:solidFill>
          </c:spPr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tx1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'Data New'!$E$3:$E$5</c:f>
              <c:numCache>
                <c:formatCode>General</c:formatCode>
                <c:ptCount val="3"/>
                <c:pt idx="0">
                  <c:v>100</c:v>
                </c:pt>
                <c:pt idx="1">
                  <c:v>1</c:v>
                </c:pt>
                <c:pt idx="2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doughnutChart>
        <c:varyColors val="1"/>
        <c:ser>
          <c:idx val="0"/>
          <c:order val="1"/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</c:spPr>
          </c:dPt>
          <c:dPt>
            <c:idx val="2"/>
            <c:bubble3D val="0"/>
            <c:spPr>
              <a:solidFill>
                <a:srgbClr val="FFC000">
                  <a:alpha val="60000"/>
                </a:srgbClr>
              </a:solidFill>
            </c:spPr>
          </c:dPt>
          <c:dPt>
            <c:idx val="3"/>
            <c:bubble3D val="0"/>
            <c:spPr>
              <a:solidFill>
                <a:srgbClr val="00B050">
                  <a:alpha val="60000"/>
                </a:srgbClr>
              </a:solidFill>
            </c:spPr>
          </c:dPt>
          <c:dPt>
            <c:idx val="4"/>
            <c:bubble3D val="0"/>
            <c:spPr>
              <a:solidFill>
                <a:srgbClr val="0070C0">
                  <a:alpha val="60000"/>
                </a:srgbClr>
              </a:solidFill>
            </c:spPr>
          </c:dPt>
          <c:dPt>
            <c:idx val="5"/>
            <c:bubble3D val="0"/>
            <c:spPr>
              <a:noFill/>
            </c:spPr>
          </c:dPt>
          <c:cat>
            <c:strRef>
              <c:f>'Data New'!$A$3:$A$8</c:f>
              <c:strCache>
                <c:ptCount val="6"/>
                <c:pt idx="0">
                  <c:v>Start</c:v>
                </c:pt>
                <c:pt idx="1">
                  <c:v>Red</c:v>
                </c:pt>
                <c:pt idx="2">
                  <c:v>Amber</c:v>
                </c:pt>
                <c:pt idx="3">
                  <c:v>Green</c:v>
                </c:pt>
                <c:pt idx="4">
                  <c:v>Blue</c:v>
                </c:pt>
                <c:pt idx="5">
                  <c:v>End</c:v>
                </c:pt>
              </c:strCache>
            </c:strRef>
          </c:cat>
          <c:val>
            <c:numRef>
              <c:f>'Data New'!$B$3:$B$8</c:f>
              <c:numCache>
                <c:formatCode>General</c:formatCode>
                <c:ptCount val="6"/>
                <c:pt idx="0">
                  <c:v>0</c:v>
                </c:pt>
                <c:pt idx="1">
                  <c:v>67</c:v>
                </c:pt>
                <c:pt idx="2">
                  <c:v>24.5</c:v>
                </c:pt>
                <c:pt idx="3">
                  <c:v>6</c:v>
                </c:pt>
                <c:pt idx="4">
                  <c:v>2.5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6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1"/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solidFill>
                <a:srgbClr val="FFC000"/>
              </a:solidFill>
            </c:spPr>
          </c:dPt>
          <c:dPt>
            <c:idx val="3"/>
            <c:bubble3D val="0"/>
            <c:spPr>
              <a:solidFill>
                <a:srgbClr val="00B050"/>
              </a:solidFill>
            </c:spPr>
          </c:dPt>
          <c:dPt>
            <c:idx val="4"/>
            <c:bubble3D val="0"/>
            <c:spPr>
              <a:solidFill>
                <a:srgbClr val="0070C0"/>
              </a:solidFill>
            </c:spPr>
          </c:dPt>
          <c:dPt>
            <c:idx val="5"/>
            <c:bubble3D val="0"/>
            <c:spPr>
              <a:noFill/>
            </c:spPr>
          </c:dPt>
          <c:cat>
            <c:strRef>
              <c:f>'[1]Data Old'!$A$3:$A$8</c:f>
              <c:strCache>
                <c:ptCount val="6"/>
                <c:pt idx="0">
                  <c:v>Start</c:v>
                </c:pt>
                <c:pt idx="1">
                  <c:v>Red</c:v>
                </c:pt>
                <c:pt idx="2">
                  <c:v>Amber</c:v>
                </c:pt>
                <c:pt idx="3">
                  <c:v>Green</c:v>
                </c:pt>
                <c:pt idx="4">
                  <c:v>Blue</c:v>
                </c:pt>
                <c:pt idx="5">
                  <c:v>End</c:v>
                </c:pt>
              </c:strCache>
            </c:strRef>
          </c:cat>
          <c:val>
            <c:numRef>
              <c:f>'[1]Data Old'!$B$3:$B$8</c:f>
              <c:numCache>
                <c:formatCode>General</c:formatCode>
                <c:ptCount val="6"/>
                <c:pt idx="0">
                  <c:v>0</c:v>
                </c:pt>
                <c:pt idx="1">
                  <c:v>62</c:v>
                </c:pt>
                <c:pt idx="2">
                  <c:v>27</c:v>
                </c:pt>
                <c:pt idx="3">
                  <c:v>9</c:v>
                </c:pt>
                <c:pt idx="4">
                  <c:v>1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pieChart>
        <c:varyColors val="1"/>
        <c:ser>
          <c:idx val="1"/>
          <c:order val="0"/>
          <c:spPr>
            <a:solidFill>
              <a:schemeClr val="accent1"/>
            </a:solidFill>
            <a:ln>
              <a:solidFill>
                <a:schemeClr val="tx1">
                  <a:alpha val="0"/>
                </a:schemeClr>
              </a:solidFill>
            </a:ln>
          </c:spPr>
          <c:dPt>
            <c:idx val="0"/>
            <c:bubble3D val="0"/>
            <c:spPr>
              <a:noFill/>
              <a:ln>
                <a:solidFill>
                  <a:schemeClr val="tx1">
                    <a:alpha val="0"/>
                  </a:schemeClr>
                </a:solidFill>
              </a:ln>
            </c:spPr>
          </c:dPt>
          <c:dPt>
            <c:idx val="1"/>
            <c:bubble3D val="0"/>
            <c:spPr>
              <a:solidFill>
                <a:schemeClr val="tx1"/>
              </a:solidFill>
              <a:ln>
                <a:solidFill>
                  <a:schemeClr val="tx1">
                    <a:alpha val="0"/>
                  </a:schemeClr>
                </a:solidFill>
              </a:ln>
            </c:spPr>
          </c:dPt>
          <c:dPt>
            <c:idx val="2"/>
            <c:bubble3D val="0"/>
            <c:spPr>
              <a:noFill/>
              <a:ln>
                <a:solidFill>
                  <a:schemeClr val="tx1">
                    <a:alpha val="0"/>
                  </a:schemeClr>
                </a:solidFill>
              </a:ln>
            </c:spPr>
          </c:dPt>
          <c:val>
            <c:numRef>
              <c:f>'[1]Data Old'!$E$3:$E$5</c:f>
              <c:numCache>
                <c:formatCode>General</c:formatCode>
                <c:ptCount val="3"/>
                <c:pt idx="0">
                  <c:v>100</c:v>
                </c:pt>
                <c:pt idx="1">
                  <c:v>1</c:v>
                </c:pt>
                <c:pt idx="2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1"/>
          <c:order val="0"/>
          <c:spPr>
            <a:solidFill>
              <a:schemeClr val="accent1"/>
            </a:solidFill>
          </c:spPr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tx1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'Data Old'!$E$3:$E$5</c:f>
              <c:numCache>
                <c:formatCode>General</c:formatCode>
                <c:ptCount val="3"/>
                <c:pt idx="0">
                  <c:v>100</c:v>
                </c:pt>
                <c:pt idx="1">
                  <c:v>1</c:v>
                </c:pt>
                <c:pt idx="2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doughnutChart>
        <c:varyColors val="1"/>
        <c:ser>
          <c:idx val="0"/>
          <c:order val="1"/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</c:spPr>
          </c:dPt>
          <c:dPt>
            <c:idx val="2"/>
            <c:bubble3D val="0"/>
            <c:spPr>
              <a:solidFill>
                <a:srgbClr val="FFC000">
                  <a:alpha val="60000"/>
                </a:srgbClr>
              </a:solidFill>
            </c:spPr>
          </c:dPt>
          <c:dPt>
            <c:idx val="3"/>
            <c:bubble3D val="0"/>
            <c:spPr>
              <a:solidFill>
                <a:srgbClr val="00B050">
                  <a:alpha val="60000"/>
                </a:srgbClr>
              </a:solidFill>
            </c:spPr>
          </c:dPt>
          <c:dPt>
            <c:idx val="4"/>
            <c:bubble3D val="0"/>
            <c:spPr>
              <a:solidFill>
                <a:srgbClr val="0070C0">
                  <a:alpha val="60000"/>
                </a:srgbClr>
              </a:solidFill>
            </c:spPr>
          </c:dPt>
          <c:dPt>
            <c:idx val="5"/>
            <c:bubble3D val="0"/>
            <c:spPr>
              <a:noFill/>
            </c:spPr>
          </c:dPt>
          <c:cat>
            <c:strRef>
              <c:f>'Data Old'!$A$3:$A$8</c:f>
              <c:strCache>
                <c:ptCount val="6"/>
                <c:pt idx="0">
                  <c:v>Start</c:v>
                </c:pt>
                <c:pt idx="1">
                  <c:v>Red</c:v>
                </c:pt>
                <c:pt idx="2">
                  <c:v>Amber</c:v>
                </c:pt>
                <c:pt idx="3">
                  <c:v>Green</c:v>
                </c:pt>
                <c:pt idx="4">
                  <c:v>Blue</c:v>
                </c:pt>
                <c:pt idx="5">
                  <c:v>End</c:v>
                </c:pt>
              </c:strCache>
            </c:strRef>
          </c:cat>
          <c:val>
            <c:numRef>
              <c:f>'Data Old'!$B$3:$B$8</c:f>
              <c:numCache>
                <c:formatCode>General</c:formatCode>
                <c:ptCount val="6"/>
                <c:pt idx="0">
                  <c:v>0</c:v>
                </c:pt>
                <c:pt idx="1">
                  <c:v>62</c:v>
                </c:pt>
                <c:pt idx="2">
                  <c:v>27</c:v>
                </c:pt>
                <c:pt idx="3">
                  <c:v>9</c:v>
                </c:pt>
                <c:pt idx="4">
                  <c:v>1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D$3" lockText="1" noThreeD="1"/>
</file>

<file path=xl/ctrlProps/ctrlProp2.xml><?xml version="1.0" encoding="utf-8"?>
<formControlPr xmlns="http://schemas.microsoft.com/office/spreadsheetml/2009/9/main" objectType="CheckBox" fmlaLink="$D$4" lockText="1" noThreeD="1"/>
</file>

<file path=xl/ctrlProps/ctrlProp3.xml><?xml version="1.0" encoding="utf-8"?>
<formControlPr xmlns="http://schemas.microsoft.com/office/spreadsheetml/2009/9/main" objectType="CheckBox" fmlaLink="$D$5" lockText="1" noThreeD="1"/>
</file>

<file path=xl/ctrlProps/ctrlProp4.xml><?xml version="1.0" encoding="utf-8"?>
<formControlPr xmlns="http://schemas.microsoft.com/office/spreadsheetml/2009/9/main" objectType="CheckBox" fmlaLink="$D$6" lockText="1" noThreeD="1"/>
</file>

<file path=xl/ctrlProps/ctrlProp5.xml><?xml version="1.0" encoding="utf-8"?>
<formControlPr xmlns="http://schemas.microsoft.com/office/spreadsheetml/2009/9/main" objectType="CheckBox" fmlaLink="$D$8" lockText="1" noThreeD="1"/>
</file>

<file path=xl/ctrlProps/ctrlProp6.xml><?xml version="1.0" encoding="utf-8"?>
<formControlPr xmlns="http://schemas.microsoft.com/office/spreadsheetml/2009/9/main" objectType="CheckBox" fmlaLink="$D$9" lockText="1" noThreeD="1"/>
</file>

<file path=xl/ctrlProps/ctrlProp7.xml><?xml version="1.0" encoding="utf-8"?>
<formControlPr xmlns="http://schemas.microsoft.com/office/spreadsheetml/2009/9/main" objectType="CheckBox" fmlaLink="$D$10" lockText="1" noThreeD="1"/>
</file>

<file path=xl/ctrlProps/ctrlProp8.xml><?xml version="1.0" encoding="utf-8"?>
<formControlPr xmlns="http://schemas.microsoft.com/office/spreadsheetml/2009/9/main" objectType="CheckBox" fmlaLink="$D$11" lockText="1" noThreeD="1"/>
</file>

<file path=xl/ctrlProps/ctrlProp9.xml><?xml version="1.0" encoding="utf-8"?>
<formControlPr xmlns="http://schemas.microsoft.com/office/spreadsheetml/2009/9/main" objectType="CheckBox" fmlaLink="$D$12" lockText="1" noThreeD="1"/>
</file>

<file path=xl/ctrlProps/ctrlProp10.xml><?xml version="1.0" encoding="utf-8"?>
<formControlPr xmlns="http://schemas.microsoft.com/office/spreadsheetml/2009/9/main" objectType="CheckBox" fmlaLink="$D$13" lockText="1" noThreeD="1"/>
</file>

<file path=xl/ctrlProps/ctrlProp11.xml><?xml version="1.0" encoding="utf-8"?>
<formControlPr xmlns="http://schemas.microsoft.com/office/spreadsheetml/2009/9/main" objectType="CheckBox" fmlaLink="$D$15" lockText="1" noThreeD="1"/>
</file>

<file path=xl/ctrlProps/ctrlProp12.xml><?xml version="1.0" encoding="utf-8"?>
<formControlPr xmlns="http://schemas.microsoft.com/office/spreadsheetml/2009/9/main" objectType="CheckBox" fmlaLink="$D$17" lockText="1" noThreeD="1"/>
</file>

<file path=xl/ctrlProps/ctrlProp13.xml><?xml version="1.0" encoding="utf-8"?>
<formControlPr xmlns="http://schemas.microsoft.com/office/spreadsheetml/2009/9/main" objectType="CheckBox" fmlaLink="$D$18" lockText="1" noThreeD="1"/>
</file>

<file path=xl/ctrlProps/ctrlProp14.xml><?xml version="1.0" encoding="utf-8"?>
<formControlPr xmlns="http://schemas.microsoft.com/office/spreadsheetml/2009/9/main" objectType="CheckBox" fmlaLink="$D$19" lockText="1" noThreeD="1"/>
</file>

<file path=xl/ctrlProps/ctrlProp15.xml><?xml version="1.0" encoding="utf-8"?>
<formControlPr xmlns="http://schemas.microsoft.com/office/spreadsheetml/2009/9/main" objectType="CheckBox" fmlaLink="$D$21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D$16" lockText="1" noThreeD="1"/>
</file>

<file path=xl/ctrlProps/ctrlProp18.xml><?xml version="1.0" encoding="utf-8"?>
<formControlPr xmlns="http://schemas.microsoft.com/office/spreadsheetml/2009/9/main" objectType="CheckBox" fmlaLink="$D$14" lockText="1" noThreeD="1"/>
</file>

<file path=xl/ctrlProps/ctrlProp19.xml><?xml version="1.0" encoding="utf-8"?>
<formControlPr xmlns="http://schemas.microsoft.com/office/spreadsheetml/2009/9/main" objectType="CheckBox" fmlaLink="$D$3" lockText="1" noThreeD="1"/>
</file>

<file path=xl/ctrlProps/ctrlProp20.xml><?xml version="1.0" encoding="utf-8"?>
<formControlPr xmlns="http://schemas.microsoft.com/office/spreadsheetml/2009/9/main" objectType="CheckBox" fmlaLink="$D$4" lockText="1" noThreeD="1"/>
</file>

<file path=xl/ctrlProps/ctrlProp21.xml><?xml version="1.0" encoding="utf-8"?>
<formControlPr xmlns="http://schemas.microsoft.com/office/spreadsheetml/2009/9/main" objectType="CheckBox" fmlaLink="$D$5" lockText="1" noThreeD="1"/>
</file>

<file path=xl/ctrlProps/ctrlProp22.xml><?xml version="1.0" encoding="utf-8"?>
<formControlPr xmlns="http://schemas.microsoft.com/office/spreadsheetml/2009/9/main" objectType="CheckBox" fmlaLink="$D$6" lockText="1" noThreeD="1"/>
</file>

<file path=xl/ctrlProps/ctrlProp23.xml><?xml version="1.0" encoding="utf-8"?>
<formControlPr xmlns="http://schemas.microsoft.com/office/spreadsheetml/2009/9/main" objectType="CheckBox" fmlaLink="$D$8" lockText="1" noThreeD="1"/>
</file>

<file path=xl/ctrlProps/ctrlProp24.xml><?xml version="1.0" encoding="utf-8"?>
<formControlPr xmlns="http://schemas.microsoft.com/office/spreadsheetml/2009/9/main" objectType="CheckBox" fmlaLink="$D$9" lockText="1" noThreeD="1"/>
</file>

<file path=xl/ctrlProps/ctrlProp25.xml><?xml version="1.0" encoding="utf-8"?>
<formControlPr xmlns="http://schemas.microsoft.com/office/spreadsheetml/2009/9/main" objectType="CheckBox" fmlaLink="$D$10" lockText="1" noThreeD="1"/>
</file>

<file path=xl/ctrlProps/ctrlProp26.xml><?xml version="1.0" encoding="utf-8"?>
<formControlPr xmlns="http://schemas.microsoft.com/office/spreadsheetml/2009/9/main" objectType="CheckBox" fmlaLink="$D$11" lockText="1" noThreeD="1"/>
</file>

<file path=xl/ctrlProps/ctrlProp27.xml><?xml version="1.0" encoding="utf-8"?>
<formControlPr xmlns="http://schemas.microsoft.com/office/spreadsheetml/2009/9/main" objectType="CheckBox" fmlaLink="$D$12" lockText="1" noThreeD="1"/>
</file>

<file path=xl/ctrlProps/ctrlProp28.xml><?xml version="1.0" encoding="utf-8"?>
<formControlPr xmlns="http://schemas.microsoft.com/office/spreadsheetml/2009/9/main" objectType="CheckBox" fmlaLink="$D$14" lockText="1" noThreeD="1"/>
</file>

<file path=xl/ctrlProps/ctrlProp29.xml><?xml version="1.0" encoding="utf-8"?>
<formControlPr xmlns="http://schemas.microsoft.com/office/spreadsheetml/2009/9/main" objectType="CheckBox" fmlaLink="$D$15" lockText="1" noThreeD="1"/>
</file>

<file path=xl/ctrlProps/ctrlProp30.xml><?xml version="1.0" encoding="utf-8"?>
<formControlPr xmlns="http://schemas.microsoft.com/office/spreadsheetml/2009/9/main" objectType="CheckBox" fmlaLink="$D$17" lockText="1" noThreeD="1"/>
</file>

<file path=xl/ctrlProps/ctrlProp31.xml><?xml version="1.0" encoding="utf-8"?>
<formControlPr xmlns="http://schemas.microsoft.com/office/spreadsheetml/2009/9/main" objectType="CheckBox" fmlaLink="$D$18" lockText="1" noThreeD="1"/>
</file>

<file path=xl/ctrlProps/ctrlProp32.xml><?xml version="1.0" encoding="utf-8"?>
<formControlPr xmlns="http://schemas.microsoft.com/office/spreadsheetml/2009/9/main" objectType="CheckBox" fmlaLink="$D$19" lockText="1" noThreeD="1"/>
</file>

<file path=xl/ctrlProps/ctrlProp33.xml><?xml version="1.0" encoding="utf-8"?>
<formControlPr xmlns="http://schemas.microsoft.com/office/spreadsheetml/2009/9/main" objectType="CheckBox" fmlaLink="$D$2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2</xdr:row>
          <xdr:rowOff>66675</xdr:rowOff>
        </xdr:from>
        <xdr:to>
          <xdr:col>1</xdr:col>
          <xdr:colOff>1847850</xdr:colOff>
          <xdr:row>6</xdr:row>
          <xdr:rowOff>38100</xdr:rowOff>
        </xdr:to>
        <xdr:grpSp>
          <xdr:nvGrpSpPr>
            <xdr:cNvPr id="2" name="Group 1"/>
            <xdr:cNvGrpSpPr/>
          </xdr:nvGrpSpPr>
          <xdr:grpSpPr>
            <a:xfrm>
              <a:off x="438150" y="504825"/>
              <a:ext cx="2019300" cy="962025"/>
              <a:chOff x="438150" y="504825"/>
              <a:chExt cx="2019300" cy="962025"/>
            </a:xfrm>
          </xdr:grpSpPr>
          <xdr:sp macro="" textlink="">
            <xdr:nvSpPr>
              <xdr:cNvPr id="2050" name="Check Box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438150" y="504825"/>
                <a:ext cx="17335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Inadequate or incorrect clamping</a:t>
                </a:r>
              </a:p>
            </xdr:txBody>
          </xdr:sp>
          <xdr:sp macro="" textlink="">
            <xdr:nvSpPr>
              <xdr:cNvPr id="2056" name="Check Box 8" hidden="1">
                <a:extLst>
                  <a:ext uri="{63B3BB69-23CF-44E3-9099-C40C66FF867C}">
                    <a14:compatExt spid="_x0000_s2056"/>
                  </a:ext>
                </a:extLst>
              </xdr:cNvPr>
              <xdr:cNvSpPr/>
            </xdr:nvSpPr>
            <xdr:spPr>
              <a:xfrm>
                <a:off x="438150" y="752475"/>
                <a:ext cx="9810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clamps used</a:t>
                </a:r>
              </a:p>
            </xdr:txBody>
          </xdr:sp>
          <xdr:sp macro="" textlink="">
            <xdr:nvSpPr>
              <xdr:cNvPr id="2057" name="Check Box 9" hidden="1">
                <a:extLst>
                  <a:ext uri="{63B3BB69-23CF-44E3-9099-C40C66FF867C}">
                    <a14:compatExt spid="_x0000_s2057"/>
                  </a:ext>
                </a:extLst>
              </xdr:cNvPr>
              <xdr:cNvSpPr/>
            </xdr:nvSpPr>
            <xdr:spPr>
              <a:xfrm>
                <a:off x="438150" y="1000125"/>
                <a:ext cx="20193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Photo does not show enough of clamps</a:t>
                </a:r>
              </a:p>
            </xdr:txBody>
          </xdr:sp>
          <xdr:sp macro="" textlink="">
            <xdr:nvSpPr>
              <xdr:cNvPr id="2058" name="Check Box 10" hidden="1">
                <a:extLst>
                  <a:ext uri="{63B3BB69-23CF-44E3-9099-C40C66FF867C}">
                    <a14:compatExt spid="_x0000_s2058"/>
                  </a:ext>
                </a:extLst>
              </xdr:cNvPr>
              <xdr:cNvSpPr/>
            </xdr:nvSpPr>
            <xdr:spPr>
              <a:xfrm>
                <a:off x="438150" y="1247775"/>
                <a:ext cx="990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Joint Misaligned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7</xdr:row>
          <xdr:rowOff>76200</xdr:rowOff>
        </xdr:from>
        <xdr:to>
          <xdr:col>1</xdr:col>
          <xdr:colOff>2124075</xdr:colOff>
          <xdr:row>12</xdr:row>
          <xdr:rowOff>38100</xdr:rowOff>
        </xdr:to>
        <xdr:grpSp>
          <xdr:nvGrpSpPr>
            <xdr:cNvPr id="13" name="Group 12"/>
            <xdr:cNvGrpSpPr/>
          </xdr:nvGrpSpPr>
          <xdr:grpSpPr>
            <a:xfrm>
              <a:off x="438150" y="1752600"/>
              <a:ext cx="2295525" cy="1200150"/>
              <a:chOff x="438150" y="1752600"/>
              <a:chExt cx="2295525" cy="1200150"/>
            </a:xfrm>
          </xdr:grpSpPr>
          <xdr:sp macro="" textlink="">
            <xdr:nvSpPr>
              <xdr:cNvPr id="2059" name="Check Box 11" hidden="1">
                <a:extLst>
                  <a:ext uri="{63B3BB69-23CF-44E3-9099-C40C66FF867C}">
                    <a14:compatExt spid="_x0000_s2059"/>
                  </a:ext>
                </a:extLst>
              </xdr:cNvPr>
              <xdr:cNvSpPr/>
            </xdr:nvSpPr>
            <xdr:spPr>
              <a:xfrm>
                <a:off x="438150" y="1752600"/>
                <a:ext cx="143827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visible hatch markings</a:t>
                </a:r>
              </a:p>
            </xdr:txBody>
          </xdr:sp>
          <xdr:sp macro="" textlink="">
            <xdr:nvSpPr>
              <xdr:cNvPr id="2060" name="Check Box 12" hidden="1">
                <a:extLst>
                  <a:ext uri="{63B3BB69-23CF-44E3-9099-C40C66FF867C}">
                    <a14:compatExt spid="_x0000_s2060"/>
                  </a:ext>
                </a:extLst>
              </xdr:cNvPr>
              <xdr:cNvSpPr/>
            </xdr:nvSpPr>
            <xdr:spPr>
              <a:xfrm>
                <a:off x="438150" y="1981200"/>
                <a:ext cx="2114550" cy="2381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visible evidence of scraping or peeling</a:t>
                </a:r>
              </a:p>
            </xdr:txBody>
          </xdr:sp>
          <xdr:sp macro="" textlink="">
            <xdr:nvSpPr>
              <xdr:cNvPr id="2061" name="Check Box 13" hidden="1">
                <a:extLst>
                  <a:ext uri="{63B3BB69-23CF-44E3-9099-C40C66FF867C}">
                    <a14:compatExt spid="_x0000_s2061"/>
                  </a:ext>
                </a:extLst>
              </xdr:cNvPr>
              <xdr:cNvSpPr/>
            </xdr:nvSpPr>
            <xdr:spPr>
              <a:xfrm>
                <a:off x="438150" y="2257425"/>
                <a:ext cx="1628775" cy="1905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Unsuitable scraping or peeling</a:t>
                </a:r>
              </a:p>
            </xdr:txBody>
          </xdr:sp>
          <xdr:sp macro="" textlink="">
            <xdr:nvSpPr>
              <xdr:cNvPr id="2062" name="Check Box 14" hidden="1">
                <a:extLst>
                  <a:ext uri="{63B3BB69-23CF-44E3-9099-C40C66FF867C}">
                    <a14:compatExt spid="_x0000_s2062"/>
                  </a:ext>
                </a:extLst>
              </xdr:cNvPr>
              <xdr:cNvSpPr/>
            </xdr:nvSpPr>
            <xdr:spPr>
              <a:xfrm>
                <a:off x="438150" y="2495550"/>
                <a:ext cx="22955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Photo does not show enough of scrape zones</a:t>
                </a:r>
              </a:p>
            </xdr:txBody>
          </xdr:sp>
          <xdr:sp macro="" textlink="">
            <xdr:nvSpPr>
              <xdr:cNvPr id="2063" name="Check Box 15" hidden="1">
                <a:extLst>
                  <a:ext uri="{63B3BB69-23CF-44E3-9099-C40C66FF867C}">
                    <a14:compatExt spid="_x0000_s2063"/>
                  </a:ext>
                </a:extLst>
              </xdr:cNvPr>
              <xdr:cNvSpPr/>
            </xdr:nvSpPr>
            <xdr:spPr>
              <a:xfrm>
                <a:off x="438150" y="2733675"/>
                <a:ext cx="15144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insertion depth markings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16</xdr:row>
          <xdr:rowOff>66675</xdr:rowOff>
        </xdr:from>
        <xdr:to>
          <xdr:col>1</xdr:col>
          <xdr:colOff>866775</xdr:colOff>
          <xdr:row>19</xdr:row>
          <xdr:rowOff>38100</xdr:rowOff>
        </xdr:to>
        <xdr:grpSp>
          <xdr:nvGrpSpPr>
            <xdr:cNvPr id="11" name="Group 10"/>
            <xdr:cNvGrpSpPr/>
          </xdr:nvGrpSpPr>
          <xdr:grpSpPr>
            <a:xfrm>
              <a:off x="438150" y="3971925"/>
              <a:ext cx="1038225" cy="714375"/>
              <a:chOff x="438150" y="3971921"/>
              <a:chExt cx="1038225" cy="714379"/>
            </a:xfrm>
          </xdr:grpSpPr>
          <xdr:sp macro="" textlink="">
            <xdr:nvSpPr>
              <xdr:cNvPr id="2066" name="Check Box 18" hidden="1">
                <a:extLst>
                  <a:ext uri="{63B3BB69-23CF-44E3-9099-C40C66FF867C}">
                    <a14:compatExt spid="_x0000_s2066"/>
                  </a:ext>
                </a:extLst>
              </xdr:cNvPr>
              <xdr:cNvSpPr/>
            </xdr:nvSpPr>
            <xdr:spPr>
              <a:xfrm>
                <a:off x="438150" y="3971921"/>
                <a:ext cx="10382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Fitting proximity</a:t>
                </a:r>
              </a:p>
            </xdr:txBody>
          </xdr:sp>
          <xdr:sp macro="" textlink="">
            <xdr:nvSpPr>
              <xdr:cNvPr id="2067" name="Check Box 19" hidden="1">
                <a:extLst>
                  <a:ext uri="{63B3BB69-23CF-44E3-9099-C40C66FF867C}">
                    <a14:compatExt spid="_x0000_s2067"/>
                  </a:ext>
                </a:extLst>
              </xdr:cNvPr>
              <xdr:cNvSpPr/>
            </xdr:nvSpPr>
            <xdr:spPr>
              <a:xfrm>
                <a:off x="438150" y="4229100"/>
                <a:ext cx="10287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ground sheet</a:t>
                </a:r>
              </a:p>
            </xdr:txBody>
          </xdr:sp>
          <xdr:sp macro="" textlink="">
            <xdr:nvSpPr>
              <xdr:cNvPr id="2068" name="Check Box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>
              <a:xfrm>
                <a:off x="438150" y="4476749"/>
                <a:ext cx="838200" cy="209551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Other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20</xdr:row>
          <xdr:rowOff>19050</xdr:rowOff>
        </xdr:from>
        <xdr:to>
          <xdr:col>1</xdr:col>
          <xdr:colOff>847725</xdr:colOff>
          <xdr:row>21</xdr:row>
          <xdr:rowOff>0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Unsuitable Photo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4763</xdr:colOff>
      <xdr:row>13</xdr:row>
      <xdr:rowOff>190500</xdr:rowOff>
    </xdr:from>
    <xdr:to>
      <xdr:col>7</xdr:col>
      <xdr:colOff>243850</xdr:colOff>
      <xdr:row>17</xdr:row>
      <xdr:rowOff>112160</xdr:rowOff>
    </xdr:to>
    <xdr:grpSp>
      <xdr:nvGrpSpPr>
        <xdr:cNvPr id="12" name="Group 11"/>
        <xdr:cNvGrpSpPr/>
      </xdr:nvGrpSpPr>
      <xdr:grpSpPr>
        <a:xfrm>
          <a:off x="4138613" y="3352800"/>
          <a:ext cx="1458287" cy="912260"/>
          <a:chOff x="10558463" y="4219575"/>
          <a:chExt cx="1458287" cy="912260"/>
        </a:xfrm>
      </xdr:grpSpPr>
      <xdr:grpSp>
        <xdr:nvGrpSpPr>
          <xdr:cNvPr id="10" name="Group 9"/>
          <xdr:cNvGrpSpPr/>
        </xdr:nvGrpSpPr>
        <xdr:grpSpPr>
          <a:xfrm>
            <a:off x="10558463" y="4219575"/>
            <a:ext cx="1035124" cy="847725"/>
            <a:chOff x="10558463" y="4219575"/>
            <a:chExt cx="1035124" cy="847725"/>
          </a:xfrm>
        </xdr:grpSpPr>
        <xdr:sp macro="" textlink="">
          <xdr:nvSpPr>
            <xdr:cNvPr id="4" name="TextBox 3"/>
            <xdr:cNvSpPr txBox="1"/>
          </xdr:nvSpPr>
          <xdr:spPr>
            <a:xfrm>
              <a:off x="10706100" y="4219575"/>
              <a:ext cx="88748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Blue = 100%</a:t>
              </a:r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10558463" y="4286251"/>
              <a:ext cx="149037" cy="133349"/>
            </a:xfrm>
            <a:prstGeom prst="rect">
              <a:avLst/>
            </a:prstGeom>
            <a:solidFill>
              <a:srgbClr val="0070C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8" name="Rectangle 27"/>
            <xdr:cNvSpPr/>
          </xdr:nvSpPr>
          <xdr:spPr>
            <a:xfrm>
              <a:off x="10558463" y="4505326"/>
              <a:ext cx="149037" cy="133349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9" name="Rectangle 28"/>
            <xdr:cNvSpPr/>
          </xdr:nvSpPr>
          <xdr:spPr>
            <a:xfrm>
              <a:off x="10558463" y="4724401"/>
              <a:ext cx="149037" cy="133349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0" name="Rectangle 29"/>
            <xdr:cNvSpPr/>
          </xdr:nvSpPr>
          <xdr:spPr>
            <a:xfrm>
              <a:off x="10558463" y="4933951"/>
              <a:ext cx="149037" cy="133349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31" name="TextBox 30"/>
          <xdr:cNvSpPr txBox="1"/>
        </xdr:nvSpPr>
        <xdr:spPr>
          <a:xfrm>
            <a:off x="10706100" y="4448175"/>
            <a:ext cx="126605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Green = 86% - 99%</a:t>
            </a:r>
          </a:p>
        </xdr:txBody>
      </xdr:sp>
      <xdr:sp macro="" textlink="">
        <xdr:nvSpPr>
          <xdr:cNvPr id="32" name="TextBox 31"/>
          <xdr:cNvSpPr txBox="1"/>
        </xdr:nvSpPr>
        <xdr:spPr>
          <a:xfrm>
            <a:off x="10715625" y="4657725"/>
            <a:ext cx="13011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Amber = 51% - 85%</a:t>
            </a:r>
          </a:p>
        </xdr:txBody>
      </xdr:sp>
      <xdr:sp macro="" textlink="">
        <xdr:nvSpPr>
          <xdr:cNvPr id="33" name="TextBox 32"/>
          <xdr:cNvSpPr txBox="1"/>
        </xdr:nvSpPr>
        <xdr:spPr>
          <a:xfrm>
            <a:off x="10715625" y="4867275"/>
            <a:ext cx="88562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Red = 50%</a:t>
            </a:r>
            <a:r>
              <a:rPr lang="en-GB" sz="1100" baseline="0"/>
              <a:t> &lt;</a:t>
            </a:r>
            <a:endParaRPr lang="en-GB" sz="1100"/>
          </a:p>
        </xdr:txBody>
      </xdr:sp>
    </xdr:grpSp>
    <xdr:clientData/>
  </xdr:twoCellAnchor>
  <xdr:twoCellAnchor>
    <xdr:from>
      <xdr:col>4</xdr:col>
      <xdr:colOff>19050</xdr:colOff>
      <xdr:row>3</xdr:row>
      <xdr:rowOff>180975</xdr:rowOff>
    </xdr:from>
    <xdr:to>
      <xdr:col>14</xdr:col>
      <xdr:colOff>133351</xdr:colOff>
      <xdr:row>21</xdr:row>
      <xdr:rowOff>95250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2286000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12</xdr:row>
          <xdr:rowOff>38100</xdr:rowOff>
        </xdr:from>
        <xdr:to>
          <xdr:col>1</xdr:col>
          <xdr:colOff>1495425</xdr:colOff>
          <xdr:row>13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contamination risk (High)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438150</xdr:colOff>
          <xdr:row>14</xdr:row>
          <xdr:rowOff>38100</xdr:rowOff>
        </xdr:from>
        <xdr:to>
          <xdr:col>1</xdr:col>
          <xdr:colOff>1409700</xdr:colOff>
          <xdr:row>15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Soil contaminiation risk (High)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15</xdr:row>
          <xdr:rowOff>38100</xdr:rowOff>
        </xdr:from>
        <xdr:to>
          <xdr:col>1</xdr:col>
          <xdr:colOff>1381125</xdr:colOff>
          <xdr:row>16</xdr:row>
          <xdr:rowOff>9525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Soil contaminiation risk (Low)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428625</xdr:colOff>
          <xdr:row>13</xdr:row>
          <xdr:rowOff>38100</xdr:rowOff>
        </xdr:from>
        <xdr:to>
          <xdr:col>1</xdr:col>
          <xdr:colOff>1485900</xdr:colOff>
          <xdr:row>14</xdr:row>
          <xdr:rowOff>9525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 contaminiation risk (Low)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66675</xdr:rowOff>
    </xdr:from>
    <xdr:to>
      <xdr:col>11</xdr:col>
      <xdr:colOff>571500</xdr:colOff>
      <xdr:row>17</xdr:row>
      <xdr:rowOff>61913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238125</xdr:colOff>
      <xdr:row>18</xdr:row>
      <xdr:rowOff>57150</xdr:rowOff>
    </xdr:from>
    <xdr:to>
      <xdr:col>19</xdr:col>
      <xdr:colOff>477212</xdr:colOff>
      <xdr:row>23</xdr:row>
      <xdr:rowOff>16910</xdr:rowOff>
    </xdr:to>
    <xdr:grpSp>
      <xdr:nvGrpSpPr>
        <xdr:cNvPr id="3" name="Group 2"/>
        <xdr:cNvGrpSpPr/>
      </xdr:nvGrpSpPr>
      <xdr:grpSpPr>
        <a:xfrm>
          <a:off x="13887450" y="3486150"/>
          <a:ext cx="1458287" cy="912260"/>
          <a:chOff x="10558463" y="4219575"/>
          <a:chExt cx="1458287" cy="912260"/>
        </a:xfrm>
      </xdr:grpSpPr>
      <xdr:grpSp>
        <xdr:nvGrpSpPr>
          <xdr:cNvPr id="4" name="Group 3"/>
          <xdr:cNvGrpSpPr/>
        </xdr:nvGrpSpPr>
        <xdr:grpSpPr>
          <a:xfrm>
            <a:off x="10558463" y="4219575"/>
            <a:ext cx="1035124" cy="847725"/>
            <a:chOff x="10558463" y="4219575"/>
            <a:chExt cx="1035124" cy="847725"/>
          </a:xfrm>
        </xdr:grpSpPr>
        <xdr:sp macro="" textlink="">
          <xdr:nvSpPr>
            <xdr:cNvPr id="8" name="TextBox 7"/>
            <xdr:cNvSpPr txBox="1"/>
          </xdr:nvSpPr>
          <xdr:spPr>
            <a:xfrm>
              <a:off x="10706100" y="4219575"/>
              <a:ext cx="88748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Blue = 100%</a:t>
              </a:r>
            </a:p>
          </xdr:txBody>
        </xdr:sp>
        <xdr:sp macro="" textlink="">
          <xdr:nvSpPr>
            <xdr:cNvPr id="9" name="Rectangle 8"/>
            <xdr:cNvSpPr/>
          </xdr:nvSpPr>
          <xdr:spPr>
            <a:xfrm>
              <a:off x="10558463" y="4286251"/>
              <a:ext cx="149037" cy="133349"/>
            </a:xfrm>
            <a:prstGeom prst="rect">
              <a:avLst/>
            </a:prstGeom>
            <a:solidFill>
              <a:srgbClr val="0070C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0" name="Rectangle 9"/>
            <xdr:cNvSpPr/>
          </xdr:nvSpPr>
          <xdr:spPr>
            <a:xfrm>
              <a:off x="10558463" y="4505326"/>
              <a:ext cx="149037" cy="133349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1" name="Rectangle 10"/>
            <xdr:cNvSpPr/>
          </xdr:nvSpPr>
          <xdr:spPr>
            <a:xfrm>
              <a:off x="10558463" y="4724401"/>
              <a:ext cx="149037" cy="133349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2" name="Rectangle 11"/>
            <xdr:cNvSpPr/>
          </xdr:nvSpPr>
          <xdr:spPr>
            <a:xfrm>
              <a:off x="10558463" y="4933951"/>
              <a:ext cx="149037" cy="133349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5" name="TextBox 4"/>
          <xdr:cNvSpPr txBox="1"/>
        </xdr:nvSpPr>
        <xdr:spPr>
          <a:xfrm>
            <a:off x="10706100" y="4448175"/>
            <a:ext cx="126605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Green = 86% - 99%</a:t>
            </a:r>
          </a:p>
        </xdr:txBody>
      </xdr:sp>
      <xdr:sp macro="" textlink="">
        <xdr:nvSpPr>
          <xdr:cNvPr id="6" name="TextBox 5"/>
          <xdr:cNvSpPr txBox="1"/>
        </xdr:nvSpPr>
        <xdr:spPr>
          <a:xfrm>
            <a:off x="10715625" y="4657725"/>
            <a:ext cx="13011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Amber = 51% - 85%</a:t>
            </a:r>
          </a:p>
        </xdr:txBody>
      </xdr:sp>
      <xdr:sp macro="" textlink="">
        <xdr:nvSpPr>
          <xdr:cNvPr id="7" name="TextBox 6"/>
          <xdr:cNvSpPr txBox="1"/>
        </xdr:nvSpPr>
        <xdr:spPr>
          <a:xfrm>
            <a:off x="10715625" y="4867275"/>
            <a:ext cx="88562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Red = 50%</a:t>
            </a:r>
            <a:r>
              <a:rPr lang="en-GB" sz="1100" baseline="0"/>
              <a:t> &lt;</a:t>
            </a:r>
            <a:endParaRPr lang="en-GB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238125</xdr:rowOff>
    </xdr:from>
    <xdr:to>
      <xdr:col>12</xdr:col>
      <xdr:colOff>466725</xdr:colOff>
      <xdr:row>22</xdr:row>
      <xdr:rowOff>85724</xdr:rowOff>
    </xdr:to>
    <xdr:grpSp>
      <xdr:nvGrpSpPr>
        <xdr:cNvPr id="2" name="Group 1"/>
        <xdr:cNvGrpSpPr/>
      </xdr:nvGrpSpPr>
      <xdr:grpSpPr>
        <a:xfrm>
          <a:off x="4124325" y="428625"/>
          <a:ext cx="5295900" cy="4991099"/>
          <a:chOff x="3743325" y="457200"/>
          <a:chExt cx="5295900" cy="4991099"/>
        </a:xfrm>
        <a:noFill/>
      </xdr:grpSpPr>
      <xdr:grpSp>
        <xdr:nvGrpSpPr>
          <xdr:cNvPr id="3" name="Group 2"/>
          <xdr:cNvGrpSpPr/>
        </xdr:nvGrpSpPr>
        <xdr:grpSpPr>
          <a:xfrm>
            <a:off x="3743325" y="457200"/>
            <a:ext cx="5295900" cy="4991099"/>
            <a:chOff x="3743325" y="457200"/>
            <a:chExt cx="5295900" cy="4991099"/>
          </a:xfrm>
          <a:grpFill/>
        </xdr:grpSpPr>
        <xdr:sp macro="" textlink="">
          <xdr:nvSpPr>
            <xdr:cNvPr id="5" name="Rounded Rectangle 4"/>
            <xdr:cNvSpPr/>
          </xdr:nvSpPr>
          <xdr:spPr>
            <a:xfrm>
              <a:off x="4140470" y="457200"/>
              <a:ext cx="4508230" cy="3352800"/>
            </a:xfrm>
            <a:prstGeom prst="roundRect">
              <a:avLst>
                <a:gd name="adj" fmla="val 8814"/>
              </a:avLst>
            </a:prstGeom>
            <a:grp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graphicFrame macro="">
          <xdr:nvGraphicFramePr>
            <xdr:cNvPr id="6" name="Chart 5"/>
            <xdr:cNvGraphicFramePr>
              <a:graphicFrameLocks/>
            </xdr:cNvGraphicFramePr>
          </xdr:nvGraphicFramePr>
          <xdr:xfrm>
            <a:off x="3743325" y="647700"/>
            <a:ext cx="5295900" cy="480059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7" name="TextBox 6"/>
            <xdr:cNvSpPr txBox="1"/>
          </xdr:nvSpPr>
          <xdr:spPr>
            <a:xfrm>
              <a:off x="5620190" y="3386009"/>
              <a:ext cx="1708456" cy="311496"/>
            </a:xfrm>
            <a:prstGeom prst="rect">
              <a:avLst/>
            </a:prstGeom>
            <a:grp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GB" sz="1400" b="1"/>
                <a:t>JCI Scoring Guage</a:t>
              </a:r>
            </a:p>
          </xdr:txBody>
        </xdr:sp>
      </xdr:grpSp>
      <xdr:sp macro="" textlink="">
        <xdr:nvSpPr>
          <xdr:cNvPr id="4" name="TextBox 3"/>
          <xdr:cNvSpPr txBox="1"/>
        </xdr:nvSpPr>
        <xdr:spPr>
          <a:xfrm>
            <a:off x="5127559" y="552450"/>
            <a:ext cx="2527432" cy="311496"/>
          </a:xfrm>
          <a:prstGeom prst="rect">
            <a:avLst/>
          </a:prstGeom>
          <a:grp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GB" sz="1400" b="1"/>
              <a:t>Control Point Inspection Flags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438148</xdr:colOff>
          <xdr:row>1</xdr:row>
          <xdr:rowOff>238125</xdr:rowOff>
        </xdr:from>
        <xdr:to>
          <xdr:col>1</xdr:col>
          <xdr:colOff>1847850</xdr:colOff>
          <xdr:row>6</xdr:row>
          <xdr:rowOff>38100</xdr:rowOff>
        </xdr:to>
        <xdr:grpSp>
          <xdr:nvGrpSpPr>
            <xdr:cNvPr id="8" name="Group 7"/>
            <xdr:cNvGrpSpPr/>
          </xdr:nvGrpSpPr>
          <xdr:grpSpPr>
            <a:xfrm>
              <a:off x="438148" y="428625"/>
              <a:ext cx="2019302" cy="1038225"/>
              <a:chOff x="438148" y="666750"/>
              <a:chExt cx="2019302" cy="1038225"/>
            </a:xfrm>
          </xdr:grpSpPr>
          <xdr:sp macro="" textlink="">
            <xdr:nvSpPr>
              <xdr:cNvPr id="4097" name="Check Box 1" hidden="1">
                <a:extLst>
                  <a:ext uri="{63B3BB69-23CF-44E3-9099-C40C66FF867C}">
                    <a14:compatExt spid="_x0000_s4097"/>
                  </a:ext>
                </a:extLst>
              </xdr:cNvPr>
              <xdr:cNvSpPr/>
            </xdr:nvSpPr>
            <xdr:spPr>
              <a:xfrm>
                <a:off x="438149" y="666750"/>
                <a:ext cx="1733550" cy="3714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Inadequate or incorrect clamping</a:t>
                </a:r>
              </a:p>
            </xdr:txBody>
          </xdr:sp>
          <xdr:sp macro="" textlink="">
            <xdr:nvSpPr>
              <xdr:cNvPr id="4098" name="Check Box 2" hidden="1">
                <a:extLst>
                  <a:ext uri="{63B3BB69-23CF-44E3-9099-C40C66FF867C}">
                    <a14:compatExt spid="_x0000_s4098"/>
                  </a:ext>
                </a:extLst>
              </xdr:cNvPr>
              <xdr:cNvSpPr/>
            </xdr:nvSpPr>
            <xdr:spPr>
              <a:xfrm>
                <a:off x="438149" y="990600"/>
                <a:ext cx="981076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clamps used</a:t>
                </a:r>
              </a:p>
            </xdr:txBody>
          </xdr:sp>
          <xdr:sp macro="" textlink="">
            <xdr:nvSpPr>
              <xdr:cNvPr id="4099" name="Check Box 3" hidden="1">
                <a:extLst>
                  <a:ext uri="{63B3BB69-23CF-44E3-9099-C40C66FF867C}">
                    <a14:compatExt spid="_x0000_s4099"/>
                  </a:ext>
                </a:extLst>
              </xdr:cNvPr>
              <xdr:cNvSpPr/>
            </xdr:nvSpPr>
            <xdr:spPr>
              <a:xfrm>
                <a:off x="438149" y="1238250"/>
                <a:ext cx="2019301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Photo does not show enough of clamps</a:t>
                </a:r>
              </a:p>
            </xdr:txBody>
          </xdr:sp>
          <xdr:sp macro="" textlink="">
            <xdr:nvSpPr>
              <xdr:cNvPr id="4100" name="Check Box 4" hidden="1">
                <a:extLst>
                  <a:ext uri="{63B3BB69-23CF-44E3-9099-C40C66FF867C}">
                    <a14:compatExt spid="_x0000_s4100"/>
                  </a:ext>
                </a:extLst>
              </xdr:cNvPr>
              <xdr:cNvSpPr/>
            </xdr:nvSpPr>
            <xdr:spPr>
              <a:xfrm>
                <a:off x="438148" y="1485900"/>
                <a:ext cx="990601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Joint Misaligned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438149</xdr:colOff>
          <xdr:row>7</xdr:row>
          <xdr:rowOff>76200</xdr:rowOff>
        </xdr:from>
        <xdr:to>
          <xdr:col>1</xdr:col>
          <xdr:colOff>2124075</xdr:colOff>
          <xdr:row>12</xdr:row>
          <xdr:rowOff>38100</xdr:rowOff>
        </xdr:to>
        <xdr:grpSp>
          <xdr:nvGrpSpPr>
            <xdr:cNvPr id="13" name="Group 12"/>
            <xdr:cNvGrpSpPr/>
          </xdr:nvGrpSpPr>
          <xdr:grpSpPr>
            <a:xfrm>
              <a:off x="438149" y="1752600"/>
              <a:ext cx="2295526" cy="1200150"/>
              <a:chOff x="438149" y="1990725"/>
              <a:chExt cx="2295526" cy="1200150"/>
            </a:xfrm>
          </xdr:grpSpPr>
          <xdr:sp macro="" textlink="">
            <xdr:nvSpPr>
              <xdr:cNvPr id="4101" name="Check Box 5" hidden="1">
                <a:extLst>
                  <a:ext uri="{63B3BB69-23CF-44E3-9099-C40C66FF867C}">
                    <a14:compatExt spid="_x0000_s4101"/>
                  </a:ext>
                </a:extLst>
              </xdr:cNvPr>
              <xdr:cNvSpPr/>
            </xdr:nvSpPr>
            <xdr:spPr>
              <a:xfrm>
                <a:off x="438149" y="1990725"/>
                <a:ext cx="1438276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visible hatch markings</a:t>
                </a:r>
              </a:p>
            </xdr:txBody>
          </xdr:sp>
          <xdr:sp macro="" textlink="">
            <xdr:nvSpPr>
              <xdr:cNvPr id="4102" name="Check Box 6" hidden="1">
                <a:extLst>
                  <a:ext uri="{63B3BB69-23CF-44E3-9099-C40C66FF867C}">
                    <a14:compatExt spid="_x0000_s4102"/>
                  </a:ext>
                </a:extLst>
              </xdr:cNvPr>
              <xdr:cNvSpPr/>
            </xdr:nvSpPr>
            <xdr:spPr>
              <a:xfrm>
                <a:off x="438149" y="2219324"/>
                <a:ext cx="2114550" cy="23812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visible evidence of scraping or peeling</a:t>
                </a:r>
              </a:p>
            </xdr:txBody>
          </xdr:sp>
          <xdr:sp macro="" textlink="">
            <xdr:nvSpPr>
              <xdr:cNvPr id="4103" name="Check Box 7" hidden="1">
                <a:extLst>
                  <a:ext uri="{63B3BB69-23CF-44E3-9099-C40C66FF867C}">
                    <a14:compatExt spid="_x0000_s4103"/>
                  </a:ext>
                </a:extLst>
              </xdr:cNvPr>
              <xdr:cNvSpPr/>
            </xdr:nvSpPr>
            <xdr:spPr>
              <a:xfrm>
                <a:off x="438149" y="2495550"/>
                <a:ext cx="1628775" cy="1905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Unsuitable scraping or peeling</a:t>
                </a:r>
              </a:p>
            </xdr:txBody>
          </xdr:sp>
          <xdr:sp macro="" textlink="">
            <xdr:nvSpPr>
              <xdr:cNvPr id="4104" name="Check Box 8" hidden="1">
                <a:extLst>
                  <a:ext uri="{63B3BB69-23CF-44E3-9099-C40C66FF867C}">
                    <a14:compatExt spid="_x0000_s4104"/>
                  </a:ext>
                </a:extLst>
              </xdr:cNvPr>
              <xdr:cNvSpPr/>
            </xdr:nvSpPr>
            <xdr:spPr>
              <a:xfrm>
                <a:off x="438149" y="2733675"/>
                <a:ext cx="2295526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Photo does not show enough of scrape zones</a:t>
                </a:r>
              </a:p>
            </xdr:txBody>
          </xdr:sp>
          <xdr:sp macro="" textlink="">
            <xdr:nvSpPr>
              <xdr:cNvPr id="4105" name="Check Box 9" hidden="1">
                <a:extLst>
                  <a:ext uri="{63B3BB69-23CF-44E3-9099-C40C66FF867C}">
                    <a14:compatExt spid="_x0000_s4105"/>
                  </a:ext>
                </a:extLst>
              </xdr:cNvPr>
              <xdr:cNvSpPr/>
            </xdr:nvSpPr>
            <xdr:spPr>
              <a:xfrm>
                <a:off x="438149" y="2971800"/>
                <a:ext cx="15144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insertion depth markings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438148</xdr:colOff>
          <xdr:row>13</xdr:row>
          <xdr:rowOff>66676</xdr:rowOff>
        </xdr:from>
        <xdr:to>
          <xdr:col>1</xdr:col>
          <xdr:colOff>1200149</xdr:colOff>
          <xdr:row>15</xdr:row>
          <xdr:rowOff>38100</xdr:rowOff>
        </xdr:to>
        <xdr:grpSp>
          <xdr:nvGrpSpPr>
            <xdr:cNvPr id="19" name="Group 18"/>
            <xdr:cNvGrpSpPr/>
          </xdr:nvGrpSpPr>
          <xdr:grpSpPr>
            <a:xfrm>
              <a:off x="438148" y="3228976"/>
              <a:ext cx="1371601" cy="466724"/>
              <a:chOff x="438148" y="3467101"/>
              <a:chExt cx="1371601" cy="466724"/>
            </a:xfrm>
          </xdr:grpSpPr>
          <xdr:sp macro="" textlink="">
            <xdr:nvSpPr>
              <xdr:cNvPr id="4106" name="Check Box 10" hidden="1">
                <a:extLst>
                  <a:ext uri="{63B3BB69-23CF-44E3-9099-C40C66FF867C}">
                    <a14:compatExt spid="_x0000_s4106"/>
                  </a:ext>
                </a:extLst>
              </xdr:cNvPr>
              <xdr:cNvSpPr/>
            </xdr:nvSpPr>
            <xdr:spPr>
              <a:xfrm>
                <a:off x="438148" y="3467101"/>
                <a:ext cx="1371601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Water contamination risk</a:t>
                </a:r>
              </a:p>
            </xdr:txBody>
          </xdr:sp>
          <xdr:sp macro="" textlink="">
            <xdr:nvSpPr>
              <xdr:cNvPr id="4107" name="Check Box 11" hidden="1">
                <a:extLst>
                  <a:ext uri="{63B3BB69-23CF-44E3-9099-C40C66FF867C}">
                    <a14:compatExt spid="_x0000_s4107"/>
                  </a:ext>
                </a:extLst>
              </xdr:cNvPr>
              <xdr:cNvSpPr/>
            </xdr:nvSpPr>
            <xdr:spPr>
              <a:xfrm>
                <a:off x="438149" y="3714750"/>
                <a:ext cx="1323975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Soil contaminiation risk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438149</xdr:colOff>
          <xdr:row>16</xdr:row>
          <xdr:rowOff>66675</xdr:rowOff>
        </xdr:from>
        <xdr:to>
          <xdr:col>1</xdr:col>
          <xdr:colOff>866774</xdr:colOff>
          <xdr:row>19</xdr:row>
          <xdr:rowOff>38100</xdr:rowOff>
        </xdr:to>
        <xdr:grpSp>
          <xdr:nvGrpSpPr>
            <xdr:cNvPr id="22" name="Group 21"/>
            <xdr:cNvGrpSpPr/>
          </xdr:nvGrpSpPr>
          <xdr:grpSpPr>
            <a:xfrm>
              <a:off x="438149" y="3971925"/>
              <a:ext cx="1038225" cy="714375"/>
              <a:chOff x="438149" y="4210050"/>
              <a:chExt cx="1038225" cy="714375"/>
            </a:xfrm>
          </xdr:grpSpPr>
          <xdr:sp macro="" textlink="">
            <xdr:nvSpPr>
              <xdr:cNvPr id="4108" name="Check Box 12" hidden="1">
                <a:extLst>
                  <a:ext uri="{63B3BB69-23CF-44E3-9099-C40C66FF867C}">
                    <a14:compatExt spid="_x0000_s4108"/>
                  </a:ext>
                </a:extLst>
              </xdr:cNvPr>
              <xdr:cNvSpPr/>
            </xdr:nvSpPr>
            <xdr:spPr>
              <a:xfrm>
                <a:off x="438149" y="4210050"/>
                <a:ext cx="1038225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Fitting proximity</a:t>
                </a:r>
              </a:p>
            </xdr:txBody>
          </xdr:sp>
          <xdr:sp macro="" textlink="">
            <xdr:nvSpPr>
              <xdr:cNvPr id="4109" name="Check Box 13" hidden="1">
                <a:extLst>
                  <a:ext uri="{63B3BB69-23CF-44E3-9099-C40C66FF867C}">
                    <a14:compatExt spid="_x0000_s4109"/>
                  </a:ext>
                </a:extLst>
              </xdr:cNvPr>
              <xdr:cNvSpPr/>
            </xdr:nvSpPr>
            <xdr:spPr>
              <a:xfrm>
                <a:off x="438149" y="4467225"/>
                <a:ext cx="10287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 ground sheet</a:t>
                </a:r>
              </a:p>
            </xdr:txBody>
          </xdr:sp>
          <xdr:sp macro="" textlink="">
            <xdr:nvSpPr>
              <xdr:cNvPr id="4110" name="Check Box 14" hidden="1">
                <a:extLst>
                  <a:ext uri="{63B3BB69-23CF-44E3-9099-C40C66FF867C}">
                    <a14:compatExt spid="_x0000_s4110"/>
                  </a:ext>
                </a:extLst>
              </xdr:cNvPr>
              <xdr:cNvSpPr/>
            </xdr:nvSpPr>
            <xdr:spPr>
              <a:xfrm>
                <a:off x="438149" y="4714875"/>
                <a:ext cx="838200" cy="20955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GB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Other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20</xdr:row>
          <xdr:rowOff>66675</xdr:rowOff>
        </xdr:from>
        <xdr:to>
          <xdr:col>1</xdr:col>
          <xdr:colOff>847725</xdr:colOff>
          <xdr:row>21</xdr:row>
          <xdr:rowOff>47625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Unsuitable Photo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4763</xdr:colOff>
      <xdr:row>16</xdr:row>
      <xdr:rowOff>190500</xdr:rowOff>
    </xdr:from>
    <xdr:to>
      <xdr:col>7</xdr:col>
      <xdr:colOff>243850</xdr:colOff>
      <xdr:row>20</xdr:row>
      <xdr:rowOff>112160</xdr:rowOff>
    </xdr:to>
    <xdr:grpSp>
      <xdr:nvGrpSpPr>
        <xdr:cNvPr id="27" name="Group 26"/>
        <xdr:cNvGrpSpPr/>
      </xdr:nvGrpSpPr>
      <xdr:grpSpPr>
        <a:xfrm>
          <a:off x="4748213" y="4095750"/>
          <a:ext cx="1458287" cy="912260"/>
          <a:chOff x="10558463" y="4219575"/>
          <a:chExt cx="1458287" cy="912260"/>
        </a:xfrm>
      </xdr:grpSpPr>
      <xdr:grpSp>
        <xdr:nvGrpSpPr>
          <xdr:cNvPr id="28" name="Group 27"/>
          <xdr:cNvGrpSpPr/>
        </xdr:nvGrpSpPr>
        <xdr:grpSpPr>
          <a:xfrm>
            <a:off x="10558463" y="4219575"/>
            <a:ext cx="1035124" cy="847725"/>
            <a:chOff x="10558463" y="4219575"/>
            <a:chExt cx="1035124" cy="847725"/>
          </a:xfrm>
        </xdr:grpSpPr>
        <xdr:sp macro="" textlink="">
          <xdr:nvSpPr>
            <xdr:cNvPr id="32" name="TextBox 31"/>
            <xdr:cNvSpPr txBox="1"/>
          </xdr:nvSpPr>
          <xdr:spPr>
            <a:xfrm>
              <a:off x="10706100" y="4219575"/>
              <a:ext cx="887487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GB" sz="1100"/>
                <a:t>Blue = 100%</a:t>
              </a:r>
            </a:p>
          </xdr:txBody>
        </xdr:sp>
        <xdr:sp macro="" textlink="">
          <xdr:nvSpPr>
            <xdr:cNvPr id="33" name="Rectangle 32"/>
            <xdr:cNvSpPr/>
          </xdr:nvSpPr>
          <xdr:spPr>
            <a:xfrm>
              <a:off x="10558463" y="4286251"/>
              <a:ext cx="149037" cy="133349"/>
            </a:xfrm>
            <a:prstGeom prst="rect">
              <a:avLst/>
            </a:prstGeom>
            <a:solidFill>
              <a:srgbClr val="0070C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Rectangle 33"/>
            <xdr:cNvSpPr/>
          </xdr:nvSpPr>
          <xdr:spPr>
            <a:xfrm>
              <a:off x="10558463" y="4505326"/>
              <a:ext cx="149037" cy="133349"/>
            </a:xfrm>
            <a:prstGeom prst="rect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5" name="Rectangle 34"/>
            <xdr:cNvSpPr/>
          </xdr:nvSpPr>
          <xdr:spPr>
            <a:xfrm>
              <a:off x="10558463" y="4724401"/>
              <a:ext cx="149037" cy="133349"/>
            </a:xfrm>
            <a:prstGeom prst="rect">
              <a:avLst/>
            </a:prstGeom>
            <a:solidFill>
              <a:srgbClr val="FFC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6" name="Rectangle 35"/>
            <xdr:cNvSpPr/>
          </xdr:nvSpPr>
          <xdr:spPr>
            <a:xfrm>
              <a:off x="10558463" y="4933951"/>
              <a:ext cx="149037" cy="133349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29" name="TextBox 28"/>
          <xdr:cNvSpPr txBox="1"/>
        </xdr:nvSpPr>
        <xdr:spPr>
          <a:xfrm>
            <a:off x="10706100" y="4448175"/>
            <a:ext cx="126605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Green = 81% - 99%</a:t>
            </a:r>
          </a:p>
        </xdr:txBody>
      </xdr:sp>
      <xdr:sp macro="" textlink="">
        <xdr:nvSpPr>
          <xdr:cNvPr id="30" name="TextBox 29"/>
          <xdr:cNvSpPr txBox="1"/>
        </xdr:nvSpPr>
        <xdr:spPr>
          <a:xfrm>
            <a:off x="10715625" y="4657725"/>
            <a:ext cx="130112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Amber = 46% - 80%</a:t>
            </a:r>
          </a:p>
        </xdr:txBody>
      </xdr:sp>
      <xdr:sp macro="" textlink="">
        <xdr:nvSpPr>
          <xdr:cNvPr id="31" name="TextBox 30"/>
          <xdr:cNvSpPr txBox="1"/>
        </xdr:nvSpPr>
        <xdr:spPr>
          <a:xfrm>
            <a:off x="10715625" y="4867275"/>
            <a:ext cx="885627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/>
              <a:t>Red = 45%</a:t>
            </a:r>
            <a:r>
              <a:rPr lang="en-GB" sz="1100" baseline="0"/>
              <a:t> &lt;</a:t>
            </a:r>
            <a:endParaRPr lang="en-GB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23812</xdr:rowOff>
    </xdr:from>
    <xdr:to>
      <xdr:col>12</xdr:col>
      <xdr:colOff>523875</xdr:colOff>
      <xdr:row>19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mark/AppData/Local/Microsoft/Windows/Temporary%20Internet%20Files/Content.Outlook/UHHQ6K9Z/Control%20Point%20Inspection%20Flags%20-%20Interacti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eractive Old"/>
      <sheetName val="Data Old"/>
    </sheetNames>
    <sheetDataSet>
      <sheetData sheetId="0"/>
      <sheetData sheetId="1">
        <row r="3">
          <cell r="A3" t="str">
            <v>Start</v>
          </cell>
          <cell r="B3">
            <v>0</v>
          </cell>
          <cell r="E3">
            <v>100</v>
          </cell>
        </row>
        <row r="4">
          <cell r="A4" t="str">
            <v>Red</v>
          </cell>
          <cell r="B4">
            <v>62</v>
          </cell>
          <cell r="E4">
            <v>1</v>
          </cell>
        </row>
        <row r="5">
          <cell r="A5" t="str">
            <v>Amber</v>
          </cell>
          <cell r="B5">
            <v>27</v>
          </cell>
          <cell r="E5">
            <v>100</v>
          </cell>
        </row>
        <row r="6">
          <cell r="A6" t="str">
            <v>Green</v>
          </cell>
          <cell r="B6">
            <v>9</v>
          </cell>
        </row>
        <row r="7">
          <cell r="A7" t="str">
            <v>Blue</v>
          </cell>
          <cell r="B7">
            <v>1</v>
          </cell>
        </row>
        <row r="8">
          <cell r="A8" t="str">
            <v>End</v>
          </cell>
          <cell r="B8">
            <v>100</v>
          </cell>
        </row>
        <row r="14">
          <cell r="C14" t="str">
            <v>Text message/email sent to gang supervisor</v>
          </cell>
        </row>
        <row r="15">
          <cell r="C15" t="str">
            <v>No action required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3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Q24"/>
  <sheetViews>
    <sheetView tabSelected="1" zoomScaleNormal="100" workbookViewId="0">
      <selection activeCell="E5" sqref="E5"/>
    </sheetView>
  </sheetViews>
  <sheetFormatPr defaultRowHeight="15" x14ac:dyDescent="0.25"/>
  <cols>
    <col min="2" max="2" width="34.5703125" customWidth="1"/>
    <col min="4" max="4" width="9.140625" hidden="1" customWidth="1"/>
    <col min="11" max="11" width="10.42578125" customWidth="1"/>
    <col min="12" max="12" width="9.28515625" customWidth="1"/>
    <col min="13" max="13" width="10.28515625" customWidth="1"/>
    <col min="14" max="14" width="9.42578125" customWidth="1"/>
    <col min="16" max="16" width="10.28515625" customWidth="1"/>
  </cols>
  <sheetData>
    <row r="2" spans="2:17" ht="19.5" customHeight="1" x14ac:dyDescent="0.25">
      <c r="B2" s="10" t="s">
        <v>1</v>
      </c>
      <c r="C2" s="10" t="s">
        <v>0</v>
      </c>
      <c r="D2" s="29"/>
    </row>
    <row r="3" spans="2:17" ht="19.5" customHeight="1" x14ac:dyDescent="0.3">
      <c r="C3" s="4">
        <f>IF(D3,'Data New'!D40,0)</f>
        <v>0</v>
      </c>
      <c r="D3" s="29" t="b">
        <v>0</v>
      </c>
      <c r="F3" s="36" t="s">
        <v>63</v>
      </c>
      <c r="G3" s="36"/>
      <c r="H3" s="36"/>
      <c r="I3" s="36"/>
      <c r="J3" s="36"/>
      <c r="K3" s="36"/>
      <c r="L3" s="36"/>
    </row>
    <row r="4" spans="2:17" ht="19.5" customHeight="1" x14ac:dyDescent="0.25">
      <c r="B4" s="3"/>
      <c r="C4" s="4">
        <f>IF(D4,'Data New'!D40,0)</f>
        <v>0</v>
      </c>
      <c r="D4" s="29" t="b">
        <v>0</v>
      </c>
    </row>
    <row r="5" spans="2:17" ht="19.5" customHeight="1" x14ac:dyDescent="0.25">
      <c r="C5" s="1">
        <f>IF(D5,5,0)</f>
        <v>0</v>
      </c>
      <c r="D5" s="29" t="b">
        <v>0</v>
      </c>
    </row>
    <row r="6" spans="2:17" ht="19.5" customHeight="1" x14ac:dyDescent="0.3">
      <c r="B6" s="3"/>
      <c r="C6" s="4">
        <f>IF(D6,'Data New'!D40,0)</f>
        <v>0</v>
      </c>
      <c r="D6" s="29" t="b">
        <v>0</v>
      </c>
      <c r="O6" s="25"/>
    </row>
    <row r="7" spans="2:17" ht="19.5" customHeight="1" x14ac:dyDescent="0.25">
      <c r="C7" s="1"/>
      <c r="D7" s="29" t="b">
        <v>0</v>
      </c>
    </row>
    <row r="8" spans="2:17" ht="19.5" customHeight="1" x14ac:dyDescent="0.25">
      <c r="C8" s="1">
        <f>IF(D8,5,0)</f>
        <v>0</v>
      </c>
      <c r="D8" s="29" t="b">
        <v>0</v>
      </c>
    </row>
    <row r="9" spans="2:17" ht="19.5" customHeight="1" x14ac:dyDescent="0.25">
      <c r="B9" s="3"/>
      <c r="C9" s="4">
        <f>IF(D9,'Data New'!D40,0)</f>
        <v>0</v>
      </c>
      <c r="D9" s="29" t="b">
        <v>0</v>
      </c>
    </row>
    <row r="10" spans="2:17" ht="19.5" customHeight="1" x14ac:dyDescent="0.25">
      <c r="C10" s="24">
        <f>IF(D10,'Data New'!D26,0)</f>
        <v>0</v>
      </c>
      <c r="D10" s="29" t="b">
        <v>0</v>
      </c>
    </row>
    <row r="11" spans="2:17" ht="19.5" customHeight="1" x14ac:dyDescent="0.25">
      <c r="C11" s="1">
        <f>IF(D11,5,0)</f>
        <v>0</v>
      </c>
      <c r="D11" s="29" t="b">
        <v>0</v>
      </c>
    </row>
    <row r="12" spans="2:17" ht="19.5" customHeight="1" x14ac:dyDescent="0.25">
      <c r="C12" s="1">
        <f>IF(D12,5,0)</f>
        <v>0</v>
      </c>
      <c r="D12" s="29" t="b">
        <v>0</v>
      </c>
    </row>
    <row r="13" spans="2:17" ht="19.5" customHeight="1" x14ac:dyDescent="0.25">
      <c r="C13" s="4">
        <f>IF(D13,'Data New'!D40,0)</f>
        <v>0</v>
      </c>
      <c r="D13" s="29" t="b">
        <v>0</v>
      </c>
    </row>
    <row r="14" spans="2:17" ht="19.5" customHeight="1" x14ac:dyDescent="0.25">
      <c r="B14" s="3"/>
      <c r="C14" s="1">
        <f>IF(D14,'Data New'!D23,0)</f>
        <v>0</v>
      </c>
      <c r="D14" s="29" t="b">
        <v>0</v>
      </c>
    </row>
    <row r="15" spans="2:17" ht="19.5" customHeight="1" x14ac:dyDescent="0.25">
      <c r="B15" s="3"/>
      <c r="C15" s="4">
        <f>IF(D15,'Data New'!D40,0)</f>
        <v>0</v>
      </c>
      <c r="D15" s="29" t="b">
        <v>0</v>
      </c>
      <c r="K15" s="10" t="s">
        <v>11</v>
      </c>
      <c r="L15" s="12">
        <f>C23/100</f>
        <v>1</v>
      </c>
      <c r="P15" s="10"/>
      <c r="Q15" s="35"/>
    </row>
    <row r="16" spans="2:17" ht="19.5" customHeight="1" x14ac:dyDescent="0.25">
      <c r="C16" s="1">
        <f>IF(D16,'Data New'!D23,0)</f>
        <v>0</v>
      </c>
      <c r="D16" s="29" t="b">
        <v>0</v>
      </c>
    </row>
    <row r="17" spans="2:13" ht="19.5" customHeight="1" x14ac:dyDescent="0.25">
      <c r="C17" s="1">
        <f>IF(D17,'Data New'!D23,0)</f>
        <v>0</v>
      </c>
      <c r="D17" s="29" t="b">
        <v>0</v>
      </c>
    </row>
    <row r="18" spans="2:13" ht="19.5" customHeight="1" x14ac:dyDescent="0.25">
      <c r="C18" s="1">
        <f>IF(D18,5,0)</f>
        <v>0</v>
      </c>
      <c r="D18" s="29" t="b">
        <v>0</v>
      </c>
    </row>
    <row r="19" spans="2:13" ht="19.5" customHeight="1" x14ac:dyDescent="0.25">
      <c r="C19" s="1">
        <f>IF(D19,5,0)</f>
        <v>0</v>
      </c>
      <c r="D19" s="29" t="b">
        <v>0</v>
      </c>
      <c r="F19" s="15" t="s">
        <v>14</v>
      </c>
      <c r="G19" s="37" t="str">
        <f>IF(AND(C23&gt;=86,C23&lt;=99),"Good Joint (no action required)",IF(AND(C23&gt;=51,C23&lt;=85),"Joint alert (Text message/email sent to gang supervisor)",IF(C23=100,"Perfect Joint (no action required)",IF(C23&lt;=50,"Cut out joint (Text message and email sent to gang supervisor)","NO"))))</f>
        <v>Perfect Joint (no action required)</v>
      </c>
      <c r="H19" s="38"/>
      <c r="I19" s="38"/>
      <c r="J19" s="38"/>
      <c r="K19" s="38"/>
      <c r="L19" s="39"/>
    </row>
    <row r="20" spans="2:13" ht="19.5" customHeight="1" x14ac:dyDescent="0.25">
      <c r="C20" s="1"/>
      <c r="D20" s="29" t="b">
        <v>0</v>
      </c>
    </row>
    <row r="21" spans="2:13" ht="19.5" customHeight="1" x14ac:dyDescent="0.25">
      <c r="C21" s="5">
        <f>IF(D21,100,0)</f>
        <v>0</v>
      </c>
      <c r="D21" s="29" t="b">
        <v>0</v>
      </c>
    </row>
    <row r="22" spans="2:13" x14ac:dyDescent="0.25">
      <c r="D22" s="29" t="b">
        <v>0</v>
      </c>
    </row>
    <row r="23" spans="2:13" ht="15.75" x14ac:dyDescent="0.25">
      <c r="B23" s="27" t="s">
        <v>42</v>
      </c>
      <c r="C23" s="6">
        <f>100-IF(C24&lt;=0,100,SUM(C3:C21))</f>
        <v>100</v>
      </c>
      <c r="F23" s="15"/>
      <c r="G23" s="23"/>
      <c r="H23" s="23"/>
      <c r="I23" s="23"/>
      <c r="J23" s="23"/>
      <c r="K23" s="23"/>
      <c r="L23" s="23"/>
      <c r="M23" s="23"/>
    </row>
    <row r="24" spans="2:13" ht="15.75" x14ac:dyDescent="0.25">
      <c r="C24" s="30">
        <f>100-SUM(C3:D22)</f>
        <v>100</v>
      </c>
    </row>
  </sheetData>
  <sheetProtection password="A9D8" sheet="1" objects="1" scenarios="1" selectLockedCells="1"/>
  <mergeCells count="2">
    <mergeCell ref="F3:L3"/>
    <mergeCell ref="G19:L19"/>
  </mergeCells>
  <conditionalFormatting sqref="L15">
    <cfRule type="cellIs" dxfId="17" priority="15" operator="lessThanOrEqual">
      <formula>0.5</formula>
    </cfRule>
    <cfRule type="cellIs" dxfId="16" priority="16" operator="between">
      <formula>51%</formula>
      <formula>85%</formula>
    </cfRule>
    <cfRule type="cellIs" dxfId="15" priority="17" operator="between">
      <formula>0.86</formula>
      <formula>0.99</formula>
    </cfRule>
    <cfRule type="cellIs" dxfId="14" priority="18" operator="equal">
      <formula>1</formula>
    </cfRule>
  </conditionalFormatting>
  <conditionalFormatting sqref="G23">
    <cfRule type="containsText" dxfId="13" priority="12" operator="containsText" text="Joint alert (Text message/email sent to gang supervisor)">
      <formula>NOT(ISERROR(SEARCH("Joint alert (Text message/email sent to gang supervisor)",G23)))</formula>
    </cfRule>
  </conditionalFormatting>
  <conditionalFormatting sqref="G23 M23">
    <cfRule type="containsText" dxfId="12" priority="9" operator="containsText" text="Perfect Joint (no action required)">
      <formula>NOT(ISERROR(SEARCH("Perfect Joint (no action required)",G23)))</formula>
    </cfRule>
    <cfRule type="containsText" dxfId="11" priority="10" operator="containsText" text="Cut out joint (Text message and email sent to gang supervisor)">
      <formula>NOT(ISERROR(SEARCH("Cut out joint (Text message and email sent to gang supervisor)",G23)))</formula>
    </cfRule>
    <cfRule type="containsText" dxfId="10" priority="11" operator="containsText" text="Good Joint (no action required)">
      <formula>NOT(ISERROR(SEARCH("Good Joint (no action required)",G23)))</formula>
    </cfRule>
  </conditionalFormatting>
  <conditionalFormatting sqref="G19">
    <cfRule type="containsText" dxfId="9" priority="4" operator="containsText" text="Joint alert (Text message/email sent to gang supervisor)">
      <formula>NOT(ISERROR(SEARCH("Joint alert (Text message/email sent to gang supervisor)",G19)))</formula>
    </cfRule>
  </conditionalFormatting>
  <conditionalFormatting sqref="G19">
    <cfRule type="containsText" dxfId="8" priority="1" operator="containsText" text="Perfect Joint (no action required)">
      <formula>NOT(ISERROR(SEARCH("Perfect Joint (no action required)",G19)))</formula>
    </cfRule>
    <cfRule type="containsText" dxfId="7" priority="2" operator="containsText" text="Cut out joint (Text message and email sent to gang supervisor)">
      <formula>NOT(ISERROR(SEARCH("Cut out joint (Text message and email sent to gang supervisor)",G19)))</formula>
    </cfRule>
    <cfRule type="containsText" dxfId="6" priority="3" operator="containsText" text="Good Joint (no action required)">
      <formula>NOT(ISERROR(SEARCH("Good Joint (no action required)",G19)))</formula>
    </cfRule>
  </conditionalFormatting>
  <dataValidations disablePrompts="1" count="1">
    <dataValidation type="whole" allowBlank="1" showInputMessage="1" showErrorMessage="1" sqref="C23:C24">
      <formula1>0</formula1>
      <formula2>100</formula2>
    </dataValidation>
  </dataValidations>
  <pageMargins left="0.7" right="0.7" top="0.75" bottom="0.75" header="0.3" footer="0.3"/>
  <pageSetup paperSize="9" scale="85" orientation="landscape" r:id="rId1"/>
  <ignoredErrors>
    <ignoredError sqref="C5 C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438150</xdr:colOff>
                    <xdr:row>2</xdr:row>
                    <xdr:rowOff>66675</xdr:rowOff>
                  </from>
                  <to>
                    <xdr:col>1</xdr:col>
                    <xdr:colOff>1562100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Check Box 8">
              <controlPr defaultSize="0" autoFill="0" autoLine="0" autoPict="0">
                <anchor moveWithCells="1">
                  <from>
                    <xdr:col>0</xdr:col>
                    <xdr:colOff>438150</xdr:colOff>
                    <xdr:row>3</xdr:row>
                    <xdr:rowOff>66675</xdr:rowOff>
                  </from>
                  <to>
                    <xdr:col>1</xdr:col>
                    <xdr:colOff>809625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Check Box 9">
              <controlPr defaultSize="0" autoFill="0" autoLine="0" autoPict="0">
                <anchor moveWithCells="1">
                  <from>
                    <xdr:col>0</xdr:col>
                    <xdr:colOff>438150</xdr:colOff>
                    <xdr:row>4</xdr:row>
                    <xdr:rowOff>66675</xdr:rowOff>
                  </from>
                  <to>
                    <xdr:col>1</xdr:col>
                    <xdr:colOff>1847850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Check Box 10">
              <controlPr defaultSize="0" autoFill="0" autoLine="0" autoPict="0">
                <anchor moveWithCells="1">
                  <from>
                    <xdr:col>0</xdr:col>
                    <xdr:colOff>438150</xdr:colOff>
                    <xdr:row>5</xdr:row>
                    <xdr:rowOff>66675</xdr:rowOff>
                  </from>
                  <to>
                    <xdr:col>1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heck Box 11">
              <controlPr defaultSize="0" autoFill="0" autoLine="0" autoPict="0">
                <anchor moveWithCells="1">
                  <from>
                    <xdr:col>0</xdr:col>
                    <xdr:colOff>438150</xdr:colOff>
                    <xdr:row>7</xdr:row>
                    <xdr:rowOff>76200</xdr:rowOff>
                  </from>
                  <to>
                    <xdr:col>1</xdr:col>
                    <xdr:colOff>1266825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Check Box 12">
              <controlPr defaultSize="0" autoFill="0" autoLine="0" autoPict="0">
                <anchor moveWithCells="1">
                  <from>
                    <xdr:col>0</xdr:col>
                    <xdr:colOff>438150</xdr:colOff>
                    <xdr:row>8</xdr:row>
                    <xdr:rowOff>57150</xdr:rowOff>
                  </from>
                  <to>
                    <xdr:col>1</xdr:col>
                    <xdr:colOff>1943100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Check Box 13">
              <controlPr defaultSize="0" autoFill="0" autoLine="0" autoPict="0">
                <anchor moveWithCells="1">
                  <from>
                    <xdr:col>0</xdr:col>
                    <xdr:colOff>438150</xdr:colOff>
                    <xdr:row>9</xdr:row>
                    <xdr:rowOff>85725</xdr:rowOff>
                  </from>
                  <to>
                    <xdr:col>1</xdr:col>
                    <xdr:colOff>1457325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Check Box 14">
              <controlPr defaultSize="0" autoFill="0" autoLine="0" autoPict="0">
                <anchor moveWithCells="1">
                  <from>
                    <xdr:col>0</xdr:col>
                    <xdr:colOff>438150</xdr:colOff>
                    <xdr:row>10</xdr:row>
                    <xdr:rowOff>76200</xdr:rowOff>
                  </from>
                  <to>
                    <xdr:col>1</xdr:col>
                    <xdr:colOff>2124075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Check Box 15">
              <controlPr defaultSize="0" autoFill="0" autoLine="0" autoPict="0">
                <anchor moveWithCells="1">
                  <from>
                    <xdr:col>0</xdr:col>
                    <xdr:colOff>438150</xdr:colOff>
                    <xdr:row>11</xdr:row>
                    <xdr:rowOff>66675</xdr:rowOff>
                  </from>
                  <to>
                    <xdr:col>1</xdr:col>
                    <xdr:colOff>1343025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Check Box 16">
              <controlPr defaultSize="0" autoFill="0" autoLine="0" autoPict="0" altText="Water contamination risk (High)">
                <anchor moveWithCells="1">
                  <from>
                    <xdr:col>0</xdr:col>
                    <xdr:colOff>438150</xdr:colOff>
                    <xdr:row>12</xdr:row>
                    <xdr:rowOff>38100</xdr:rowOff>
                  </from>
                  <to>
                    <xdr:col>1</xdr:col>
                    <xdr:colOff>1495425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4" name="Check Box 17">
              <controlPr defaultSize="0" autoFill="0" autoLine="0" autoPict="0">
                <anchor moveWithCells="1">
                  <from>
                    <xdr:col>0</xdr:col>
                    <xdr:colOff>438150</xdr:colOff>
                    <xdr:row>14</xdr:row>
                    <xdr:rowOff>38100</xdr:rowOff>
                  </from>
                  <to>
                    <xdr:col>1</xdr:col>
                    <xdr:colOff>1409700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5" name="Check Box 18">
              <controlPr defaultSize="0" autoFill="0" autoLine="0" autoPict="0">
                <anchor moveWithCells="1">
                  <from>
                    <xdr:col>0</xdr:col>
                    <xdr:colOff>438150</xdr:colOff>
                    <xdr:row>16</xdr:row>
                    <xdr:rowOff>66675</xdr:rowOff>
                  </from>
                  <to>
                    <xdr:col>1</xdr:col>
                    <xdr:colOff>866775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6" name="Check Box 19">
              <controlPr defaultSize="0" autoFill="0" autoLine="0" autoPict="0">
                <anchor moveWithCells="1">
                  <from>
                    <xdr:col>0</xdr:col>
                    <xdr:colOff>438150</xdr:colOff>
                    <xdr:row>17</xdr:row>
                    <xdr:rowOff>76200</xdr:rowOff>
                  </from>
                  <to>
                    <xdr:col>1</xdr:col>
                    <xdr:colOff>857250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7" name="Check Box 20">
              <controlPr defaultSize="0" autoFill="0" autoLine="0" autoPict="0">
                <anchor moveWithCells="1">
                  <from>
                    <xdr:col>0</xdr:col>
                    <xdr:colOff>438150</xdr:colOff>
                    <xdr:row>18</xdr:row>
                    <xdr:rowOff>76200</xdr:rowOff>
                  </from>
                  <to>
                    <xdr:col>1</xdr:col>
                    <xdr:colOff>666750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8" name="Check Box 21">
              <controlPr defaultSize="0" autoFill="0" autoLine="0" autoPict="0">
                <anchor moveWithCells="1">
                  <from>
                    <xdr:col>0</xdr:col>
                    <xdr:colOff>447675</xdr:colOff>
                    <xdr:row>20</xdr:row>
                    <xdr:rowOff>19050</xdr:rowOff>
                  </from>
                  <to>
                    <xdr:col>1</xdr:col>
                    <xdr:colOff>847725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9" name="Button 25">
              <controlPr locked="0" defaultSize="0" print="0" autoFill="0" autoPict="0" macro="[0]!Clear1">
                <anchor moveWithCells="1" sizeWithCells="1">
                  <from>
                    <xdr:col>1</xdr:col>
                    <xdr:colOff>2286000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0" name="Check Box 27">
              <controlPr defaultSize="0" autoFill="0" autoLine="0" autoPict="0">
                <anchor moveWithCells="1">
                  <from>
                    <xdr:col>0</xdr:col>
                    <xdr:colOff>428625</xdr:colOff>
                    <xdr:row>15</xdr:row>
                    <xdr:rowOff>38100</xdr:rowOff>
                  </from>
                  <to>
                    <xdr:col>1</xdr:col>
                    <xdr:colOff>1381125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1" name="Check Box 28">
              <controlPr defaultSize="0" autoFill="0" autoLine="0" autoPict="0" altText="Water contaminiation risk Low">
                <anchor moveWithCells="1">
                  <from>
                    <xdr:col>0</xdr:col>
                    <xdr:colOff>428625</xdr:colOff>
                    <xdr:row>13</xdr:row>
                    <xdr:rowOff>38100</xdr:rowOff>
                  </from>
                  <to>
                    <xdr:col>1</xdr:col>
                    <xdr:colOff>1485900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G26"/>
  <sheetViews>
    <sheetView workbookViewId="0">
      <selection activeCell="L22" sqref="L22"/>
    </sheetView>
  </sheetViews>
  <sheetFormatPr defaultRowHeight="15" x14ac:dyDescent="0.25"/>
  <cols>
    <col min="1" max="1" width="41" customWidth="1"/>
  </cols>
  <sheetData>
    <row r="1" spans="1:7" ht="18.75" x14ac:dyDescent="0.3">
      <c r="A1" s="36" t="s">
        <v>51</v>
      </c>
      <c r="B1" s="36"/>
      <c r="C1" s="36"/>
      <c r="D1" s="36"/>
      <c r="E1" s="36"/>
      <c r="F1" s="36"/>
      <c r="G1" s="36"/>
    </row>
    <row r="3" spans="1:7" ht="15.75" x14ac:dyDescent="0.25">
      <c r="B3" s="40" t="s">
        <v>0</v>
      </c>
      <c r="C3" s="40"/>
      <c r="D3" s="40"/>
      <c r="E3" s="40"/>
      <c r="F3" s="40"/>
      <c r="G3" s="40"/>
    </row>
    <row r="4" spans="1:7" ht="15.75" x14ac:dyDescent="0.25">
      <c r="B4" s="40" t="s">
        <v>52</v>
      </c>
      <c r="C4" s="40"/>
      <c r="D4" s="40"/>
      <c r="E4" s="40"/>
      <c r="F4" s="40"/>
      <c r="G4" s="40"/>
    </row>
    <row r="5" spans="1:7" ht="15.75" x14ac:dyDescent="0.25">
      <c r="A5" s="31" t="s">
        <v>53</v>
      </c>
      <c r="B5" s="1">
        <v>1</v>
      </c>
      <c r="C5" s="1">
        <v>2</v>
      </c>
      <c r="D5" s="1">
        <v>3</v>
      </c>
      <c r="E5" s="1">
        <v>4</v>
      </c>
      <c r="F5" s="1">
        <v>5</v>
      </c>
      <c r="G5" s="1">
        <v>6</v>
      </c>
    </row>
    <row r="6" spans="1:7" x14ac:dyDescent="0.25">
      <c r="A6" s="4" t="s">
        <v>54</v>
      </c>
      <c r="B6">
        <v>50</v>
      </c>
      <c r="C6">
        <v>35</v>
      </c>
      <c r="D6">
        <v>30</v>
      </c>
      <c r="E6">
        <v>25</v>
      </c>
      <c r="F6">
        <v>20</v>
      </c>
      <c r="G6">
        <v>16.66</v>
      </c>
    </row>
    <row r="7" spans="1:7" x14ac:dyDescent="0.25">
      <c r="A7" s="4" t="s">
        <v>55</v>
      </c>
      <c r="B7">
        <v>50</v>
      </c>
      <c r="C7">
        <v>35</v>
      </c>
      <c r="D7">
        <v>30</v>
      </c>
      <c r="E7">
        <v>25</v>
      </c>
      <c r="F7">
        <v>20</v>
      </c>
      <c r="G7">
        <v>16.66</v>
      </c>
    </row>
    <row r="8" spans="1:7" x14ac:dyDescent="0.25">
      <c r="A8" s="4" t="s">
        <v>25</v>
      </c>
      <c r="B8">
        <v>50</v>
      </c>
      <c r="C8">
        <v>35</v>
      </c>
      <c r="D8">
        <v>30</v>
      </c>
      <c r="E8">
        <v>25</v>
      </c>
      <c r="F8">
        <v>20</v>
      </c>
      <c r="G8">
        <v>16.66</v>
      </c>
    </row>
    <row r="9" spans="1:7" x14ac:dyDescent="0.25">
      <c r="A9" s="4" t="s">
        <v>26</v>
      </c>
      <c r="B9">
        <v>50</v>
      </c>
      <c r="C9">
        <v>35</v>
      </c>
      <c r="D9">
        <v>30</v>
      </c>
      <c r="E9">
        <v>25</v>
      </c>
      <c r="F9">
        <v>20</v>
      </c>
      <c r="G9">
        <v>16.66</v>
      </c>
    </row>
    <row r="10" spans="1:7" x14ac:dyDescent="0.25">
      <c r="A10" s="4" t="s">
        <v>56</v>
      </c>
      <c r="B10">
        <v>50</v>
      </c>
      <c r="C10">
        <v>35</v>
      </c>
      <c r="D10">
        <v>30</v>
      </c>
      <c r="E10">
        <v>25</v>
      </c>
      <c r="F10">
        <v>20</v>
      </c>
      <c r="G10">
        <v>16.66</v>
      </c>
    </row>
    <row r="11" spans="1:7" x14ac:dyDescent="0.25">
      <c r="A11" s="4" t="s">
        <v>62</v>
      </c>
      <c r="B11">
        <v>50</v>
      </c>
      <c r="C11">
        <v>35</v>
      </c>
      <c r="D11">
        <v>30</v>
      </c>
      <c r="E11">
        <v>25</v>
      </c>
      <c r="F11">
        <v>20</v>
      </c>
      <c r="G11">
        <v>16.66</v>
      </c>
    </row>
    <row r="12" spans="1:7" ht="15.75" x14ac:dyDescent="0.25">
      <c r="A12" s="32"/>
    </row>
    <row r="13" spans="1:7" ht="15.75" x14ac:dyDescent="0.25">
      <c r="A13" s="31" t="s">
        <v>57</v>
      </c>
    </row>
    <row r="14" spans="1:7" x14ac:dyDescent="0.25">
      <c r="A14" s="33" t="s">
        <v>18</v>
      </c>
      <c r="B14">
        <v>15</v>
      </c>
    </row>
    <row r="15" spans="1:7" x14ac:dyDescent="0.25">
      <c r="A15" s="33" t="s">
        <v>21</v>
      </c>
      <c r="B15">
        <v>15</v>
      </c>
    </row>
    <row r="16" spans="1:7" x14ac:dyDescent="0.25">
      <c r="A16" s="33" t="s">
        <v>61</v>
      </c>
      <c r="B16">
        <v>15</v>
      </c>
    </row>
    <row r="17" spans="1:2" ht="15.75" x14ac:dyDescent="0.25">
      <c r="A17" s="32"/>
    </row>
    <row r="18" spans="1:2" ht="15.75" x14ac:dyDescent="0.25">
      <c r="A18" s="34" t="s">
        <v>58</v>
      </c>
    </row>
    <row r="19" spans="1:2" x14ac:dyDescent="0.25">
      <c r="A19" s="1" t="s">
        <v>16</v>
      </c>
      <c r="B19">
        <v>5</v>
      </c>
    </row>
    <row r="20" spans="1:2" x14ac:dyDescent="0.25">
      <c r="A20" s="1" t="s">
        <v>59</v>
      </c>
      <c r="B20">
        <v>5</v>
      </c>
    </row>
    <row r="21" spans="1:2" x14ac:dyDescent="0.25">
      <c r="A21" s="1" t="s">
        <v>19</v>
      </c>
      <c r="B21">
        <v>5</v>
      </c>
    </row>
    <row r="22" spans="1:2" x14ac:dyDescent="0.25">
      <c r="A22" s="1" t="s">
        <v>20</v>
      </c>
      <c r="B22">
        <v>5</v>
      </c>
    </row>
    <row r="23" spans="1:2" x14ac:dyDescent="0.25">
      <c r="A23" s="1" t="s">
        <v>60</v>
      </c>
      <c r="B23">
        <v>5</v>
      </c>
    </row>
    <row r="24" spans="1:2" x14ac:dyDescent="0.25">
      <c r="A24" s="1" t="s">
        <v>23</v>
      </c>
      <c r="B24">
        <v>5</v>
      </c>
    </row>
    <row r="25" spans="1:2" ht="15.75" x14ac:dyDescent="0.25">
      <c r="A25" s="32"/>
    </row>
    <row r="26" spans="1:2" ht="15.75" x14ac:dyDescent="0.25">
      <c r="A26" s="34" t="s">
        <v>50</v>
      </c>
      <c r="B26">
        <v>100</v>
      </c>
    </row>
  </sheetData>
  <sheetProtection password="A9D8" sheet="1" objects="1" scenarios="1" selectLockedCells="1"/>
  <mergeCells count="3">
    <mergeCell ref="A1:G1"/>
    <mergeCell ref="B3:G3"/>
    <mergeCell ref="B4:G4"/>
  </mergeCells>
  <pageMargins left="0.7" right="0.7" top="0.75" bottom="0.75" header="0.3" footer="0.3"/>
  <pageSetup paperSize="9" scale="91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2:X54"/>
  <sheetViews>
    <sheetView topLeftCell="A16" workbookViewId="0">
      <selection activeCell="C47" sqref="C47"/>
    </sheetView>
  </sheetViews>
  <sheetFormatPr defaultRowHeight="15" x14ac:dyDescent="0.25"/>
  <cols>
    <col min="1" max="1" width="7.5703125" bestFit="1" customWidth="1"/>
    <col min="2" max="2" width="41.7109375" bestFit="1" customWidth="1"/>
    <col min="3" max="3" width="7.28515625" customWidth="1"/>
    <col min="4" max="4" width="7.5703125" customWidth="1"/>
    <col min="5" max="5" width="5.28515625" customWidth="1"/>
    <col min="6" max="7" width="6.28515625" customWidth="1"/>
    <col min="8" max="8" width="6.140625" customWidth="1"/>
    <col min="9" max="9" width="6.28515625" customWidth="1"/>
    <col min="12" max="12" width="15.140625" customWidth="1"/>
    <col min="13" max="13" width="7.7109375" customWidth="1"/>
    <col min="14" max="14" width="41.7109375" bestFit="1" customWidth="1"/>
  </cols>
  <sheetData>
    <row r="2" spans="1:20" x14ac:dyDescent="0.25">
      <c r="A2" s="1" t="s">
        <v>10</v>
      </c>
      <c r="D2" s="1" t="s">
        <v>8</v>
      </c>
    </row>
    <row r="3" spans="1:20" x14ac:dyDescent="0.25">
      <c r="A3" t="s">
        <v>2</v>
      </c>
      <c r="B3" s="22">
        <v>0</v>
      </c>
      <c r="D3" t="s">
        <v>0</v>
      </c>
      <c r="E3">
        <f>'New Interactive'!C23</f>
        <v>100</v>
      </c>
    </row>
    <row r="4" spans="1:20" x14ac:dyDescent="0.25">
      <c r="A4" t="s">
        <v>3</v>
      </c>
      <c r="B4" s="22">
        <v>67</v>
      </c>
      <c r="D4" t="s">
        <v>9</v>
      </c>
      <c r="E4">
        <v>1</v>
      </c>
    </row>
    <row r="5" spans="1:20" x14ac:dyDescent="0.25">
      <c r="A5" t="s">
        <v>6</v>
      </c>
      <c r="B5" s="22">
        <v>24.5</v>
      </c>
      <c r="D5" t="s">
        <v>5</v>
      </c>
      <c r="E5">
        <v>100</v>
      </c>
      <c r="M5" s="19"/>
      <c r="N5" s="20"/>
      <c r="O5" s="19"/>
      <c r="P5" s="19"/>
      <c r="Q5" s="19"/>
      <c r="R5" s="19"/>
      <c r="S5" s="19"/>
      <c r="T5" s="19"/>
    </row>
    <row r="6" spans="1:20" x14ac:dyDescent="0.25">
      <c r="A6" t="s">
        <v>4</v>
      </c>
      <c r="B6" s="22">
        <v>6</v>
      </c>
      <c r="M6" s="19"/>
      <c r="N6" s="20"/>
      <c r="O6" s="20"/>
      <c r="P6" s="20"/>
      <c r="Q6" s="19"/>
      <c r="R6" s="19"/>
      <c r="S6" s="19"/>
      <c r="T6" s="19"/>
    </row>
    <row r="7" spans="1:20" x14ac:dyDescent="0.25">
      <c r="A7" t="s">
        <v>7</v>
      </c>
      <c r="B7" s="22">
        <v>2.5</v>
      </c>
      <c r="M7" s="21"/>
      <c r="N7" s="20"/>
      <c r="O7" s="19"/>
      <c r="P7" s="19"/>
      <c r="Q7" s="19"/>
      <c r="R7" s="19"/>
      <c r="S7" s="19"/>
      <c r="T7" s="19"/>
    </row>
    <row r="8" spans="1:20" x14ac:dyDescent="0.25">
      <c r="A8" t="s">
        <v>5</v>
      </c>
      <c r="B8" s="22">
        <v>100</v>
      </c>
      <c r="M8" s="21"/>
      <c r="N8" s="20"/>
      <c r="O8" s="19"/>
      <c r="P8" s="19"/>
      <c r="Q8" s="19"/>
      <c r="R8" s="19"/>
      <c r="S8" s="19"/>
      <c r="T8" s="19"/>
    </row>
    <row r="9" spans="1:20" x14ac:dyDescent="0.25">
      <c r="M9" s="21"/>
      <c r="N9" s="20"/>
      <c r="O9" s="19"/>
      <c r="P9" s="19"/>
      <c r="Q9" s="19"/>
      <c r="R9" s="19"/>
      <c r="S9" s="19"/>
      <c r="T9" s="19"/>
    </row>
    <row r="10" spans="1:20" x14ac:dyDescent="0.25">
      <c r="M10" s="21"/>
      <c r="N10" s="20"/>
      <c r="O10" s="19"/>
      <c r="P10" s="19"/>
      <c r="Q10" s="19"/>
      <c r="R10" s="19"/>
      <c r="S10" s="19"/>
      <c r="T10" s="19"/>
    </row>
    <row r="11" spans="1:20" x14ac:dyDescent="0.25">
      <c r="A11" t="s">
        <v>13</v>
      </c>
      <c r="B11" s="14"/>
      <c r="C11" s="4" t="s">
        <v>12</v>
      </c>
      <c r="M11" s="21"/>
      <c r="N11" s="20"/>
      <c r="O11" s="19"/>
      <c r="P11" s="19"/>
      <c r="Q11" s="19"/>
      <c r="R11" s="19"/>
      <c r="S11" s="19"/>
      <c r="T11" s="19"/>
    </row>
    <row r="12" spans="1:20" x14ac:dyDescent="0.25">
      <c r="B12" s="11"/>
      <c r="C12" s="4" t="s">
        <v>41</v>
      </c>
      <c r="M12" s="21"/>
      <c r="N12" s="20"/>
      <c r="O12" s="19"/>
      <c r="P12" s="19"/>
      <c r="Q12" s="19"/>
      <c r="R12" s="19"/>
      <c r="S12" s="19"/>
      <c r="T12" s="19"/>
    </row>
    <row r="13" spans="1:20" x14ac:dyDescent="0.25">
      <c r="B13" s="13"/>
      <c r="C13" t="s">
        <v>39</v>
      </c>
      <c r="M13" s="21"/>
      <c r="N13" s="20"/>
      <c r="O13" s="19"/>
      <c r="P13" s="19"/>
      <c r="Q13" s="19"/>
      <c r="R13" s="19"/>
      <c r="S13" s="19"/>
      <c r="T13" s="19"/>
    </row>
    <row r="14" spans="1:20" x14ac:dyDescent="0.25">
      <c r="B14" s="9"/>
      <c r="C14" t="s">
        <v>40</v>
      </c>
      <c r="M14" s="19"/>
      <c r="N14" s="20"/>
      <c r="O14" s="19"/>
      <c r="P14" s="19"/>
      <c r="Q14" s="19"/>
      <c r="R14" s="19"/>
      <c r="S14" s="19"/>
      <c r="T14" s="19"/>
    </row>
    <row r="15" spans="1:20" ht="15" customHeight="1" x14ac:dyDescent="0.25">
      <c r="M15" s="21"/>
      <c r="N15" s="20"/>
      <c r="O15" s="19"/>
      <c r="P15" s="19"/>
      <c r="Q15" s="19"/>
      <c r="R15" s="19"/>
      <c r="S15" s="19"/>
      <c r="T15" s="19"/>
    </row>
    <row r="16" spans="1:20" x14ac:dyDescent="0.25">
      <c r="M16" s="21"/>
      <c r="N16" s="20"/>
      <c r="O16" s="19"/>
      <c r="P16" s="19"/>
      <c r="Q16" s="19"/>
      <c r="R16" s="19"/>
      <c r="S16" s="19"/>
      <c r="T16" s="19"/>
    </row>
    <row r="17" spans="1:24" x14ac:dyDescent="0.25">
      <c r="B17" s="1" t="s">
        <v>34</v>
      </c>
      <c r="E17" s="1"/>
      <c r="F17" s="1"/>
      <c r="G17" s="1"/>
      <c r="H17" s="1"/>
      <c r="I17" s="1"/>
      <c r="J17" s="1"/>
      <c r="M17" s="21"/>
      <c r="N17" s="20"/>
      <c r="O17" s="19"/>
      <c r="P17" s="19"/>
      <c r="Q17" s="19"/>
      <c r="R17" s="19"/>
      <c r="S17" s="19"/>
      <c r="T17" s="19"/>
    </row>
    <row r="18" spans="1:24" x14ac:dyDescent="0.25">
      <c r="B18" s="1"/>
      <c r="C18" s="1" t="s">
        <v>30</v>
      </c>
      <c r="D18" s="1" t="s">
        <v>31</v>
      </c>
      <c r="M18" s="21"/>
      <c r="N18" s="20"/>
      <c r="O18" s="20" t="s">
        <v>48</v>
      </c>
      <c r="P18" s="20" t="s">
        <v>49</v>
      </c>
      <c r="Q18" s="19"/>
      <c r="R18" s="19"/>
      <c r="S18" s="19"/>
      <c r="T18" s="19"/>
    </row>
    <row r="19" spans="1:24" ht="15" customHeight="1" x14ac:dyDescent="0.25">
      <c r="A19" s="44" t="s">
        <v>35</v>
      </c>
      <c r="B19" s="1" t="s">
        <v>16</v>
      </c>
      <c r="C19">
        <v>5</v>
      </c>
      <c r="D19">
        <v>5</v>
      </c>
      <c r="M19" s="46" t="s">
        <v>35</v>
      </c>
      <c r="N19" s="1" t="s">
        <v>16</v>
      </c>
      <c r="O19">
        <v>5</v>
      </c>
      <c r="P19">
        <v>5</v>
      </c>
      <c r="Q19" s="19"/>
      <c r="R19" s="19"/>
      <c r="S19" s="19"/>
      <c r="T19" s="19"/>
    </row>
    <row r="20" spans="1:24" x14ac:dyDescent="0.25">
      <c r="A20" s="44"/>
      <c r="B20" s="1" t="s">
        <v>17</v>
      </c>
      <c r="C20">
        <v>5</v>
      </c>
      <c r="D20">
        <v>5</v>
      </c>
      <c r="M20" s="46"/>
      <c r="N20" s="1" t="s">
        <v>17</v>
      </c>
      <c r="O20">
        <v>5</v>
      </c>
      <c r="P20">
        <v>5</v>
      </c>
      <c r="Q20" s="19"/>
      <c r="R20" s="19"/>
      <c r="S20" s="19"/>
      <c r="T20" s="19"/>
    </row>
    <row r="21" spans="1:24" x14ac:dyDescent="0.25">
      <c r="A21" s="44"/>
      <c r="B21" s="1" t="s">
        <v>19</v>
      </c>
      <c r="C21">
        <v>5</v>
      </c>
      <c r="D21">
        <v>5</v>
      </c>
      <c r="M21" s="46"/>
      <c r="N21" s="1" t="s">
        <v>19</v>
      </c>
      <c r="O21">
        <v>5</v>
      </c>
      <c r="P21">
        <v>5</v>
      </c>
      <c r="Q21" s="19"/>
      <c r="R21" s="19"/>
      <c r="S21" s="19"/>
      <c r="T21" s="19"/>
    </row>
    <row r="22" spans="1:24" x14ac:dyDescent="0.25">
      <c r="A22" s="44"/>
      <c r="B22" s="1" t="s">
        <v>20</v>
      </c>
      <c r="C22">
        <v>5</v>
      </c>
      <c r="D22">
        <v>5</v>
      </c>
      <c r="M22" s="46"/>
      <c r="N22" s="1" t="s">
        <v>20</v>
      </c>
      <c r="O22">
        <v>5</v>
      </c>
      <c r="P22">
        <v>5</v>
      </c>
      <c r="Q22" s="19"/>
      <c r="R22" s="19"/>
      <c r="S22" s="19"/>
      <c r="T22" s="19"/>
    </row>
    <row r="23" spans="1:24" x14ac:dyDescent="0.25">
      <c r="A23" s="44"/>
      <c r="B23" s="1" t="s">
        <v>21</v>
      </c>
      <c r="C23">
        <v>10</v>
      </c>
      <c r="D23">
        <v>15</v>
      </c>
      <c r="M23" s="46"/>
      <c r="N23" s="1" t="s">
        <v>21</v>
      </c>
      <c r="O23">
        <v>10</v>
      </c>
      <c r="P23">
        <v>15</v>
      </c>
      <c r="Q23" s="19"/>
      <c r="R23" s="19"/>
      <c r="S23" s="19"/>
      <c r="T23" s="19"/>
    </row>
    <row r="24" spans="1:24" x14ac:dyDescent="0.25">
      <c r="A24" s="44"/>
      <c r="B24" s="1" t="s">
        <v>22</v>
      </c>
      <c r="C24">
        <v>5</v>
      </c>
      <c r="D24">
        <v>5</v>
      </c>
      <c r="M24" s="46"/>
      <c r="N24" s="1" t="s">
        <v>22</v>
      </c>
      <c r="O24">
        <v>5</v>
      </c>
      <c r="P24">
        <v>5</v>
      </c>
    </row>
    <row r="25" spans="1:24" x14ac:dyDescent="0.25">
      <c r="A25" s="44"/>
      <c r="B25" s="1" t="s">
        <v>23</v>
      </c>
      <c r="C25">
        <v>5</v>
      </c>
      <c r="D25">
        <v>5</v>
      </c>
      <c r="L25" s="16"/>
      <c r="M25" s="46"/>
      <c r="N25" s="1" t="s">
        <v>23</v>
      </c>
      <c r="O25">
        <v>5</v>
      </c>
      <c r="P25">
        <v>5</v>
      </c>
      <c r="Q25" s="17"/>
      <c r="R25" s="17"/>
      <c r="S25" s="17"/>
      <c r="T25" s="16"/>
      <c r="U25" s="16"/>
      <c r="V25" s="16"/>
      <c r="W25" s="16"/>
      <c r="X25" s="16"/>
    </row>
    <row r="26" spans="1:24" x14ac:dyDescent="0.25">
      <c r="A26" s="44"/>
      <c r="B26" s="1" t="s">
        <v>18</v>
      </c>
      <c r="C26">
        <v>10</v>
      </c>
      <c r="D26">
        <v>15</v>
      </c>
      <c r="L26" s="16"/>
      <c r="M26" s="46"/>
      <c r="N26" s="1" t="s">
        <v>18</v>
      </c>
      <c r="O26">
        <v>10</v>
      </c>
      <c r="P26">
        <v>15</v>
      </c>
      <c r="Q26" s="17"/>
      <c r="R26" s="17"/>
      <c r="S26" s="17"/>
      <c r="T26" s="16"/>
      <c r="U26" s="16"/>
      <c r="V26" s="16"/>
      <c r="W26" s="16"/>
      <c r="X26" s="16"/>
    </row>
    <row r="27" spans="1:24" x14ac:dyDescent="0.25">
      <c r="A27" s="21"/>
      <c r="B27" s="1"/>
      <c r="E27" s="42" t="s">
        <v>46</v>
      </c>
      <c r="F27" s="42"/>
      <c r="G27" s="42"/>
      <c r="H27" s="42"/>
      <c r="I27" s="42"/>
      <c r="L27" s="16"/>
      <c r="M27" s="45" t="s">
        <v>36</v>
      </c>
      <c r="N27" s="1" t="s">
        <v>24</v>
      </c>
      <c r="O27">
        <v>20</v>
      </c>
      <c r="P27">
        <v>50</v>
      </c>
      <c r="Q27">
        <f>$E$28/$E$35</f>
        <v>35</v>
      </c>
      <c r="R27">
        <f>$F$28/$F$35</f>
        <v>30</v>
      </c>
      <c r="S27">
        <f>$G$28/$G$35</f>
        <v>25</v>
      </c>
      <c r="T27">
        <f>$H$28/$H$35</f>
        <v>20</v>
      </c>
      <c r="U27">
        <f>100/6</f>
        <v>16.666666666666668</v>
      </c>
      <c r="V27" s="16"/>
      <c r="W27" s="16"/>
      <c r="X27" s="16"/>
    </row>
    <row r="28" spans="1:24" ht="15" customHeight="1" x14ac:dyDescent="0.25">
      <c r="B28" s="1"/>
      <c r="D28" s="1"/>
      <c r="E28" s="26">
        <v>70</v>
      </c>
      <c r="F28" s="26">
        <v>90</v>
      </c>
      <c r="G28" s="26">
        <v>100</v>
      </c>
      <c r="H28" s="26">
        <v>100</v>
      </c>
      <c r="I28" s="26">
        <v>100</v>
      </c>
      <c r="L28" s="16"/>
      <c r="M28" s="45"/>
      <c r="N28" s="1" t="s">
        <v>25</v>
      </c>
      <c r="O28">
        <v>20</v>
      </c>
      <c r="P28">
        <v>50</v>
      </c>
      <c r="Q28">
        <f t="shared" ref="Q28:Q32" si="0">$E$28/$E$35</f>
        <v>35</v>
      </c>
      <c r="R28">
        <f t="shared" ref="R28:R32" si="1">$F$28/$F$35</f>
        <v>30</v>
      </c>
      <c r="S28">
        <f t="shared" ref="S28:S32" si="2">$G$28/$G$35</f>
        <v>25</v>
      </c>
      <c r="T28">
        <f t="shared" ref="T28:T32" si="3">$H$28/$H$35</f>
        <v>20</v>
      </c>
      <c r="U28">
        <f t="shared" ref="U28:U32" si="4">100/6</f>
        <v>16.666666666666668</v>
      </c>
      <c r="V28" s="16"/>
      <c r="W28" s="16"/>
      <c r="X28" s="16"/>
    </row>
    <row r="29" spans="1:24" ht="15" customHeight="1" x14ac:dyDescent="0.25">
      <c r="A29" s="45" t="s">
        <v>36</v>
      </c>
      <c r="B29" s="1" t="s">
        <v>24</v>
      </c>
      <c r="C29">
        <v>20</v>
      </c>
      <c r="D29">
        <v>50</v>
      </c>
      <c r="E29">
        <f>$E$28/$E$35</f>
        <v>35</v>
      </c>
      <c r="F29">
        <f>$F$28/$F$35</f>
        <v>30</v>
      </c>
      <c r="G29">
        <f>$G$28/$G$35</f>
        <v>25</v>
      </c>
      <c r="H29">
        <f>$H$28/$H$35</f>
        <v>20</v>
      </c>
      <c r="I29">
        <f>100/6</f>
        <v>16.666666666666668</v>
      </c>
      <c r="L29" s="16"/>
      <c r="M29" s="45"/>
      <c r="N29" s="1" t="s">
        <v>26</v>
      </c>
      <c r="O29">
        <v>20</v>
      </c>
      <c r="P29">
        <v>50</v>
      </c>
      <c r="Q29">
        <f t="shared" si="0"/>
        <v>35</v>
      </c>
      <c r="R29">
        <f t="shared" si="1"/>
        <v>30</v>
      </c>
      <c r="S29">
        <f t="shared" si="2"/>
        <v>25</v>
      </c>
      <c r="T29">
        <f t="shared" si="3"/>
        <v>20</v>
      </c>
      <c r="U29">
        <f t="shared" si="4"/>
        <v>16.666666666666668</v>
      </c>
      <c r="V29" s="16"/>
      <c r="W29" s="16"/>
      <c r="X29" s="16"/>
    </row>
    <row r="30" spans="1:24" x14ac:dyDescent="0.25">
      <c r="A30" s="45"/>
      <c r="B30" s="1" t="s">
        <v>25</v>
      </c>
      <c r="C30">
        <v>20</v>
      </c>
      <c r="D30">
        <v>50</v>
      </c>
      <c r="E30">
        <f t="shared" ref="E30:E34" si="5">$E$28/$E$35</f>
        <v>35</v>
      </c>
      <c r="F30">
        <f t="shared" ref="F30:F34" si="6">$F$28/$F$35</f>
        <v>30</v>
      </c>
      <c r="G30">
        <f t="shared" ref="G30:G34" si="7">$G$28/$G$35</f>
        <v>25</v>
      </c>
      <c r="H30">
        <f t="shared" ref="H30:H34" si="8">$H$28/$H$35</f>
        <v>20</v>
      </c>
      <c r="I30">
        <f t="shared" ref="I30:I34" si="9">100/6</f>
        <v>16.666666666666668</v>
      </c>
      <c r="L30" s="16"/>
      <c r="M30" s="45"/>
      <c r="N30" s="1" t="s">
        <v>27</v>
      </c>
      <c r="O30">
        <v>20</v>
      </c>
      <c r="P30">
        <v>50</v>
      </c>
      <c r="Q30">
        <f t="shared" si="0"/>
        <v>35</v>
      </c>
      <c r="R30">
        <f t="shared" si="1"/>
        <v>30</v>
      </c>
      <c r="S30">
        <f t="shared" si="2"/>
        <v>25</v>
      </c>
      <c r="T30">
        <f t="shared" si="3"/>
        <v>20</v>
      </c>
      <c r="U30">
        <f t="shared" si="4"/>
        <v>16.666666666666668</v>
      </c>
      <c r="V30" s="16"/>
      <c r="W30" s="16"/>
      <c r="X30" s="16"/>
    </row>
    <row r="31" spans="1:24" ht="15" customHeight="1" x14ac:dyDescent="0.25">
      <c r="A31" s="45"/>
      <c r="B31" s="1" t="s">
        <v>26</v>
      </c>
      <c r="C31">
        <v>20</v>
      </c>
      <c r="D31">
        <v>50</v>
      </c>
      <c r="E31">
        <f t="shared" si="5"/>
        <v>35</v>
      </c>
      <c r="F31">
        <f t="shared" si="6"/>
        <v>30</v>
      </c>
      <c r="G31">
        <f t="shared" si="7"/>
        <v>25</v>
      </c>
      <c r="H31">
        <f t="shared" si="8"/>
        <v>20</v>
      </c>
      <c r="I31">
        <f t="shared" si="9"/>
        <v>16.666666666666668</v>
      </c>
      <c r="L31" s="16"/>
      <c r="M31" s="45"/>
      <c r="N31" s="1" t="s">
        <v>28</v>
      </c>
      <c r="O31">
        <v>20</v>
      </c>
      <c r="P31">
        <v>50</v>
      </c>
      <c r="Q31">
        <f t="shared" si="0"/>
        <v>35</v>
      </c>
      <c r="R31">
        <f t="shared" si="1"/>
        <v>30</v>
      </c>
      <c r="S31">
        <f t="shared" si="2"/>
        <v>25</v>
      </c>
      <c r="T31">
        <f t="shared" si="3"/>
        <v>20</v>
      </c>
      <c r="U31">
        <f t="shared" si="4"/>
        <v>16.666666666666668</v>
      </c>
      <c r="V31" s="16"/>
      <c r="W31" s="16"/>
      <c r="X31" s="16"/>
    </row>
    <row r="32" spans="1:24" x14ac:dyDescent="0.25">
      <c r="A32" s="45"/>
      <c r="B32" s="1" t="s">
        <v>27</v>
      </c>
      <c r="C32">
        <v>20</v>
      </c>
      <c r="D32">
        <v>50</v>
      </c>
      <c r="E32">
        <f t="shared" si="5"/>
        <v>35</v>
      </c>
      <c r="F32">
        <f t="shared" si="6"/>
        <v>30</v>
      </c>
      <c r="G32">
        <f t="shared" si="7"/>
        <v>25</v>
      </c>
      <c r="H32">
        <f t="shared" si="8"/>
        <v>20</v>
      </c>
      <c r="I32">
        <f t="shared" si="9"/>
        <v>16.666666666666668</v>
      </c>
      <c r="L32" s="16"/>
      <c r="M32" s="45"/>
      <c r="N32" s="1" t="s">
        <v>15</v>
      </c>
      <c r="O32">
        <v>20</v>
      </c>
      <c r="P32">
        <v>50</v>
      </c>
      <c r="Q32">
        <f t="shared" si="0"/>
        <v>35</v>
      </c>
      <c r="R32">
        <f t="shared" si="1"/>
        <v>30</v>
      </c>
      <c r="S32">
        <f t="shared" si="2"/>
        <v>25</v>
      </c>
      <c r="T32">
        <f t="shared" si="3"/>
        <v>20</v>
      </c>
      <c r="U32">
        <f t="shared" si="4"/>
        <v>16.666666666666668</v>
      </c>
      <c r="V32" s="16"/>
      <c r="W32" s="16"/>
      <c r="X32" s="16"/>
    </row>
    <row r="33" spans="1:24" x14ac:dyDescent="0.25">
      <c r="A33" s="45"/>
      <c r="B33" s="1" t="s">
        <v>28</v>
      </c>
      <c r="C33">
        <v>20</v>
      </c>
      <c r="D33">
        <v>50</v>
      </c>
      <c r="E33">
        <f t="shared" si="5"/>
        <v>35</v>
      </c>
      <c r="F33">
        <f t="shared" si="6"/>
        <v>30</v>
      </c>
      <c r="G33">
        <f t="shared" si="7"/>
        <v>25</v>
      </c>
      <c r="H33">
        <f t="shared" si="8"/>
        <v>20</v>
      </c>
      <c r="I33">
        <f t="shared" si="9"/>
        <v>16.666666666666668</v>
      </c>
      <c r="L33" s="16"/>
      <c r="M33" s="28"/>
      <c r="N33" s="1" t="s">
        <v>50</v>
      </c>
      <c r="O33">
        <v>100</v>
      </c>
      <c r="P33">
        <v>100</v>
      </c>
      <c r="V33" s="16"/>
      <c r="W33" s="16"/>
      <c r="X33" s="16"/>
    </row>
    <row r="34" spans="1:24" x14ac:dyDescent="0.25">
      <c r="A34" s="45"/>
      <c r="B34" s="1" t="s">
        <v>15</v>
      </c>
      <c r="C34">
        <v>20</v>
      </c>
      <c r="D34">
        <v>50</v>
      </c>
      <c r="E34">
        <f t="shared" si="5"/>
        <v>35</v>
      </c>
      <c r="F34">
        <f t="shared" si="6"/>
        <v>30</v>
      </c>
      <c r="G34">
        <f t="shared" si="7"/>
        <v>25</v>
      </c>
      <c r="H34">
        <f t="shared" si="8"/>
        <v>20</v>
      </c>
      <c r="I34">
        <f t="shared" si="9"/>
        <v>16.666666666666668</v>
      </c>
      <c r="L34" s="16"/>
      <c r="M34" s="18"/>
      <c r="N34" s="1"/>
      <c r="P34" s="27">
        <v>1</v>
      </c>
      <c r="Q34" s="27">
        <v>2</v>
      </c>
      <c r="R34" s="27">
        <v>3</v>
      </c>
      <c r="S34" s="27">
        <v>4</v>
      </c>
      <c r="T34" s="27">
        <v>5</v>
      </c>
      <c r="U34" s="27">
        <v>6</v>
      </c>
      <c r="V34" s="16"/>
      <c r="W34" s="16"/>
      <c r="X34" s="16"/>
    </row>
    <row r="35" spans="1:24" x14ac:dyDescent="0.25">
      <c r="A35" s="21"/>
      <c r="B35" s="1"/>
      <c r="D35" s="1">
        <v>1</v>
      </c>
      <c r="E35" s="1">
        <v>2</v>
      </c>
      <c r="F35" s="1">
        <v>3</v>
      </c>
      <c r="G35" s="1">
        <v>4</v>
      </c>
      <c r="H35" s="1">
        <v>5</v>
      </c>
      <c r="I35" s="1">
        <v>6</v>
      </c>
      <c r="L35" s="16"/>
      <c r="M35" s="16"/>
      <c r="N35" s="17"/>
      <c r="O35" s="17"/>
      <c r="P35" s="41" t="s">
        <v>38</v>
      </c>
      <c r="Q35" s="41"/>
      <c r="R35" s="41"/>
      <c r="S35" s="41"/>
      <c r="T35" s="41"/>
      <c r="U35" s="41"/>
      <c r="V35" s="16"/>
      <c r="W35" s="16"/>
      <c r="X35" s="16"/>
    </row>
    <row r="36" spans="1:24" x14ac:dyDescent="0.25">
      <c r="B36" s="1" t="s">
        <v>29</v>
      </c>
      <c r="C36" t="s">
        <v>32</v>
      </c>
      <c r="D36" s="43" t="s">
        <v>38</v>
      </c>
      <c r="E36" s="43"/>
      <c r="F36" s="43"/>
      <c r="G36" s="43"/>
      <c r="H36" s="43"/>
      <c r="I36" s="43"/>
      <c r="J36" s="1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</row>
    <row r="37" spans="1:24" x14ac:dyDescent="0.25">
      <c r="B37" s="1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</row>
    <row r="38" spans="1:24" x14ac:dyDescent="0.25">
      <c r="B38" s="1" t="s">
        <v>33</v>
      </c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</row>
    <row r="39" spans="1:24" x14ac:dyDescent="0.25"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7"/>
      <c r="W39" s="17"/>
      <c r="X39" s="16"/>
    </row>
    <row r="40" spans="1:24" x14ac:dyDescent="0.25">
      <c r="B40" s="1" t="s">
        <v>37</v>
      </c>
      <c r="C40" s="1">
        <f>SUM(C42:C47)</f>
        <v>0</v>
      </c>
      <c r="D40" s="1">
        <f>IF(C40=300,C50,IF(C40=250,D50,IF(C40=200,E50,IF(C40=150,F50,IF(C40=100,G50,IF(C40=50,H50,0))))))</f>
        <v>0</v>
      </c>
      <c r="L40" s="16"/>
      <c r="M40" s="18"/>
      <c r="N40" s="16"/>
      <c r="O40" s="17"/>
      <c r="P40" s="17"/>
      <c r="Q40" s="17"/>
      <c r="R40" s="17"/>
      <c r="S40" s="17"/>
      <c r="T40" s="17"/>
      <c r="U40" s="17"/>
      <c r="V40" s="16"/>
      <c r="W40" s="16"/>
      <c r="X40" s="16"/>
    </row>
    <row r="41" spans="1:24" x14ac:dyDescent="0.25">
      <c r="L41" s="16"/>
      <c r="M41" s="18"/>
      <c r="N41" s="17"/>
      <c r="O41" s="16"/>
      <c r="P41" s="16"/>
      <c r="Q41" s="16"/>
      <c r="R41" s="16"/>
      <c r="S41" s="16"/>
      <c r="T41" s="16"/>
      <c r="U41" s="16"/>
      <c r="V41" s="16"/>
      <c r="W41" s="16"/>
      <c r="X41" s="16"/>
    </row>
    <row r="42" spans="1:24" x14ac:dyDescent="0.25">
      <c r="B42" s="1" t="s">
        <v>15</v>
      </c>
      <c r="C42">
        <f>IF('New Interactive'!D3,50,0)</f>
        <v>0</v>
      </c>
      <c r="D42">
        <v>35</v>
      </c>
      <c r="E42">
        <v>30</v>
      </c>
      <c r="F42">
        <v>25</v>
      </c>
      <c r="G42">
        <v>20</v>
      </c>
      <c r="H42">
        <v>16.670000000000002</v>
      </c>
      <c r="L42" s="16"/>
      <c r="M42" s="18"/>
      <c r="N42" s="17"/>
      <c r="O42" s="16"/>
      <c r="P42" s="16"/>
      <c r="Q42" s="16"/>
      <c r="R42" s="16"/>
      <c r="S42" s="16"/>
      <c r="T42" s="16"/>
      <c r="U42" s="16"/>
      <c r="V42" s="16"/>
      <c r="W42" s="16"/>
      <c r="X42" s="16"/>
    </row>
    <row r="43" spans="1:24" x14ac:dyDescent="0.25">
      <c r="B43" s="1" t="s">
        <v>24</v>
      </c>
      <c r="C43">
        <f>IF('New Interactive'!D4,50,0)</f>
        <v>0</v>
      </c>
      <c r="D43">
        <v>35</v>
      </c>
      <c r="E43">
        <v>30</v>
      </c>
      <c r="F43">
        <v>25</v>
      </c>
      <c r="G43">
        <v>20</v>
      </c>
      <c r="H43">
        <v>16.670000000000002</v>
      </c>
      <c r="L43" s="1"/>
      <c r="M43" s="18"/>
      <c r="N43" s="17"/>
      <c r="O43" s="16"/>
      <c r="P43" s="16"/>
      <c r="Q43" s="16"/>
      <c r="R43" s="16"/>
      <c r="S43" s="16"/>
      <c r="T43" s="16"/>
      <c r="U43" s="16"/>
      <c r="V43" s="16"/>
      <c r="W43" s="16"/>
      <c r="X43" s="16"/>
    </row>
    <row r="44" spans="1:24" x14ac:dyDescent="0.25">
      <c r="B44" s="1" t="s">
        <v>25</v>
      </c>
      <c r="C44">
        <f>IF('New Interactive'!D6,50,0)</f>
        <v>0</v>
      </c>
      <c r="D44">
        <v>35</v>
      </c>
      <c r="E44">
        <v>30</v>
      </c>
      <c r="F44">
        <v>25</v>
      </c>
      <c r="G44">
        <v>20</v>
      </c>
      <c r="H44">
        <v>16.670000000000002</v>
      </c>
      <c r="L44" s="1"/>
      <c r="M44" s="18"/>
      <c r="N44" s="17"/>
      <c r="O44" s="16"/>
      <c r="P44" s="16"/>
      <c r="Q44" s="16"/>
      <c r="R44" s="16"/>
      <c r="S44" s="16"/>
      <c r="T44" s="16"/>
      <c r="U44" s="16"/>
      <c r="V44" s="16"/>
      <c r="W44" s="16"/>
      <c r="X44" s="16"/>
    </row>
    <row r="45" spans="1:24" x14ac:dyDescent="0.25">
      <c r="B45" s="1" t="s">
        <v>26</v>
      </c>
      <c r="C45">
        <f>IF('New Interactive'!D9,50,0)</f>
        <v>0</v>
      </c>
      <c r="D45">
        <v>35</v>
      </c>
      <c r="E45">
        <v>30</v>
      </c>
      <c r="F45">
        <v>25</v>
      </c>
      <c r="G45">
        <v>20</v>
      </c>
      <c r="H45">
        <v>16.670000000000002</v>
      </c>
      <c r="L45" s="1"/>
      <c r="M45" s="18"/>
      <c r="N45" s="17"/>
      <c r="O45" s="16"/>
      <c r="P45" s="16"/>
      <c r="Q45" s="16"/>
      <c r="R45" s="16"/>
      <c r="S45" s="16"/>
      <c r="T45" s="16"/>
      <c r="U45" s="16"/>
      <c r="V45" s="16"/>
      <c r="W45" s="16"/>
      <c r="X45" s="16"/>
    </row>
    <row r="46" spans="1:24" x14ac:dyDescent="0.25">
      <c r="B46" s="1" t="s">
        <v>27</v>
      </c>
      <c r="C46">
        <f>IF('New Interactive'!D13,50,0)</f>
        <v>0</v>
      </c>
      <c r="D46">
        <v>35</v>
      </c>
      <c r="E46">
        <v>30</v>
      </c>
      <c r="F46">
        <v>25</v>
      </c>
      <c r="G46">
        <v>20</v>
      </c>
      <c r="H46">
        <v>16.670000000000002</v>
      </c>
      <c r="L46" s="1"/>
      <c r="M46" s="18"/>
      <c r="N46" s="17"/>
      <c r="O46" s="16"/>
      <c r="P46" s="16"/>
      <c r="Q46" s="16"/>
      <c r="R46" s="16"/>
      <c r="S46" s="16"/>
      <c r="T46" s="16"/>
      <c r="U46" s="16"/>
      <c r="V46" s="16"/>
      <c r="W46" s="16"/>
      <c r="X46" s="16"/>
    </row>
    <row r="47" spans="1:24" x14ac:dyDescent="0.25">
      <c r="B47" s="1" t="s">
        <v>28</v>
      </c>
      <c r="C47">
        <f>IF('New Interactive'!D15,50,0)</f>
        <v>0</v>
      </c>
      <c r="D47">
        <v>35</v>
      </c>
      <c r="E47">
        <v>30</v>
      </c>
      <c r="F47">
        <v>25</v>
      </c>
      <c r="G47">
        <v>20</v>
      </c>
      <c r="H47">
        <v>16.670000000000002</v>
      </c>
      <c r="L47" s="1"/>
      <c r="M47" s="18"/>
      <c r="N47" s="17"/>
      <c r="O47" s="16"/>
      <c r="P47" s="16"/>
      <c r="Q47" s="16"/>
      <c r="R47" s="16"/>
      <c r="S47" s="16"/>
      <c r="T47" s="16"/>
      <c r="U47" s="16"/>
      <c r="V47" s="16"/>
      <c r="W47" s="16"/>
      <c r="X47" s="16"/>
    </row>
    <row r="48" spans="1:24" x14ac:dyDescent="0.25">
      <c r="L48" s="1"/>
      <c r="M48" s="18"/>
      <c r="N48" s="17"/>
      <c r="O48" s="16"/>
      <c r="P48" s="16"/>
      <c r="Q48" s="16"/>
      <c r="R48" s="16"/>
      <c r="S48" s="16"/>
      <c r="T48" s="16"/>
      <c r="U48" s="16"/>
      <c r="V48" s="16"/>
      <c r="W48" s="16"/>
      <c r="X48" s="16"/>
    </row>
    <row r="49" spans="2:24" x14ac:dyDescent="0.25">
      <c r="B49" s="7" t="s">
        <v>38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L49" s="1"/>
      <c r="M49" s="16"/>
      <c r="N49" s="17"/>
      <c r="O49" s="16"/>
      <c r="P49" s="16"/>
      <c r="Q49" s="16"/>
      <c r="R49" s="16"/>
      <c r="S49" s="16"/>
      <c r="T49" s="16"/>
      <c r="U49" s="16"/>
      <c r="V49" s="17"/>
      <c r="W49" s="17"/>
      <c r="X49" s="16"/>
    </row>
    <row r="50" spans="2:24" x14ac:dyDescent="0.25">
      <c r="B50" s="7" t="s">
        <v>47</v>
      </c>
      <c r="C50">
        <f>I29</f>
        <v>16.666666666666668</v>
      </c>
      <c r="D50">
        <f>H29</f>
        <v>20</v>
      </c>
      <c r="E50">
        <f>G29</f>
        <v>25</v>
      </c>
      <c r="F50">
        <f>F29</f>
        <v>30</v>
      </c>
      <c r="G50">
        <f>E29</f>
        <v>35</v>
      </c>
      <c r="H50">
        <f>D29</f>
        <v>50</v>
      </c>
      <c r="L50" s="16"/>
      <c r="M50" s="16"/>
      <c r="N50" s="16"/>
      <c r="O50" s="17"/>
      <c r="P50" s="17"/>
      <c r="Q50" s="17"/>
      <c r="R50" s="17"/>
      <c r="S50" s="17"/>
      <c r="T50" s="17"/>
      <c r="U50" s="17"/>
      <c r="V50" s="17"/>
      <c r="W50" s="17"/>
      <c r="X50" s="16"/>
    </row>
    <row r="51" spans="2:24" x14ac:dyDescent="0.25">
      <c r="C51">
        <v>300</v>
      </c>
      <c r="D51">
        <v>250</v>
      </c>
      <c r="E51">
        <v>200</v>
      </c>
      <c r="F51">
        <v>150</v>
      </c>
      <c r="G51">
        <v>100</v>
      </c>
      <c r="H51">
        <v>50</v>
      </c>
      <c r="L51" s="16"/>
      <c r="M51" s="16"/>
      <c r="N51" s="16"/>
      <c r="O51" s="17"/>
      <c r="P51" s="17"/>
      <c r="Q51" s="17"/>
      <c r="R51" s="17"/>
      <c r="S51" s="17"/>
      <c r="T51" s="17"/>
      <c r="U51" s="17"/>
      <c r="V51" s="16"/>
      <c r="W51" s="16"/>
      <c r="X51" s="16"/>
    </row>
    <row r="52" spans="2:24" x14ac:dyDescent="0.25">
      <c r="N52" s="16"/>
      <c r="O52" s="16"/>
      <c r="P52" s="16"/>
      <c r="Q52" s="16"/>
      <c r="R52" s="16"/>
      <c r="S52" s="16"/>
      <c r="T52" s="16"/>
      <c r="U52" s="16"/>
    </row>
    <row r="54" spans="2:24" x14ac:dyDescent="0.25">
      <c r="B54" s="1"/>
    </row>
  </sheetData>
  <mergeCells count="7">
    <mergeCell ref="P35:U35"/>
    <mergeCell ref="E27:I27"/>
    <mergeCell ref="D36:I36"/>
    <mergeCell ref="A19:A26"/>
    <mergeCell ref="A29:A34"/>
    <mergeCell ref="M19:M26"/>
    <mergeCell ref="M27:M32"/>
  </mergeCells>
  <pageMargins left="0.7" right="0.7" top="0.75" bottom="0.75" header="0.3" footer="0.3"/>
  <pageSetup paperSize="9" scale="36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28DA4F3-AAB8-43D0-B609-B51FDB713A7E}">
            <xm:f>IF('New Interactive'!$C$23=100,$C$14,BLANK)</xm:f>
            <x14:dxf/>
          </x14:cfRule>
          <xm:sqref>G21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2:L24"/>
  <sheetViews>
    <sheetView showGridLines="0" topLeftCell="A2" zoomScaleNormal="100" workbookViewId="0">
      <selection activeCell="C24" sqref="C24"/>
    </sheetView>
  </sheetViews>
  <sheetFormatPr defaultRowHeight="15" x14ac:dyDescent="0.25"/>
  <cols>
    <col min="2" max="2" width="34.5703125" customWidth="1"/>
    <col min="4" max="4" width="9.140625" customWidth="1"/>
    <col min="11" max="11" width="10.42578125" customWidth="1"/>
    <col min="12" max="12" width="7" customWidth="1"/>
    <col min="13" max="13" width="10.28515625" customWidth="1"/>
    <col min="14" max="14" width="9.42578125" customWidth="1"/>
    <col min="16" max="16" width="10.28515625" customWidth="1"/>
  </cols>
  <sheetData>
    <row r="2" spans="2:12" ht="19.5" customHeight="1" x14ac:dyDescent="0.25">
      <c r="B2" s="8" t="s">
        <v>1</v>
      </c>
      <c r="C2" s="7" t="s">
        <v>0</v>
      </c>
    </row>
    <row r="3" spans="2:12" ht="19.5" customHeight="1" x14ac:dyDescent="0.3">
      <c r="C3" s="1">
        <f>IF(D3,10,0)</f>
        <v>0</v>
      </c>
      <c r="D3" t="b">
        <f>'New Interactive'!D3</f>
        <v>0</v>
      </c>
      <c r="I3" s="2"/>
    </row>
    <row r="4" spans="2:12" ht="19.5" customHeight="1" x14ac:dyDescent="0.25">
      <c r="B4" s="3"/>
      <c r="C4" s="4">
        <f>IF(D4,20,0)</f>
        <v>0</v>
      </c>
      <c r="D4" t="b">
        <f>'New Interactive'!D4</f>
        <v>0</v>
      </c>
    </row>
    <row r="5" spans="2:12" ht="19.5" customHeight="1" x14ac:dyDescent="0.25">
      <c r="C5" s="1">
        <f>IF(D5,5,0)</f>
        <v>0</v>
      </c>
      <c r="D5" t="b">
        <f>'New Interactive'!D5</f>
        <v>0</v>
      </c>
    </row>
    <row r="6" spans="2:12" ht="19.5" customHeight="1" x14ac:dyDescent="0.25">
      <c r="B6" s="3"/>
      <c r="C6" s="4">
        <f>IF(D6,20,0)</f>
        <v>0</v>
      </c>
      <c r="D6" t="b">
        <f>'New Interactive'!D6</f>
        <v>0</v>
      </c>
    </row>
    <row r="7" spans="2:12" ht="19.5" customHeight="1" x14ac:dyDescent="0.25">
      <c r="C7" s="1"/>
    </row>
    <row r="8" spans="2:12" ht="19.5" customHeight="1" x14ac:dyDescent="0.25">
      <c r="C8" s="1">
        <f>IF(D8,5,0)</f>
        <v>0</v>
      </c>
      <c r="D8" t="b">
        <f>'New Interactive'!D8</f>
        <v>0</v>
      </c>
    </row>
    <row r="9" spans="2:12" ht="19.5" customHeight="1" x14ac:dyDescent="0.25">
      <c r="B9" s="3"/>
      <c r="C9" s="4">
        <f>IF(D9,20,0)</f>
        <v>0</v>
      </c>
      <c r="D9" t="b">
        <f>'New Interactive'!D9</f>
        <v>0</v>
      </c>
    </row>
    <row r="10" spans="2:12" ht="19.5" customHeight="1" x14ac:dyDescent="0.25">
      <c r="C10" s="1">
        <f>IF(D10,10,0)</f>
        <v>0</v>
      </c>
      <c r="D10" t="b">
        <f>'New Interactive'!D10</f>
        <v>0</v>
      </c>
    </row>
    <row r="11" spans="2:12" ht="19.5" customHeight="1" x14ac:dyDescent="0.25">
      <c r="C11" s="1">
        <f>IF(D11,5,0)</f>
        <v>0</v>
      </c>
      <c r="D11" t="b">
        <f>'New Interactive'!D11</f>
        <v>0</v>
      </c>
    </row>
    <row r="12" spans="2:12" ht="19.5" customHeight="1" x14ac:dyDescent="0.25">
      <c r="C12" s="1">
        <f>IF(D12,5,0)</f>
        <v>0</v>
      </c>
      <c r="D12" t="b">
        <f>'New Interactive'!D12</f>
        <v>0</v>
      </c>
    </row>
    <row r="13" spans="2:12" ht="19.5" customHeight="1" x14ac:dyDescent="0.25">
      <c r="C13" s="1"/>
    </row>
    <row r="14" spans="2:12" ht="19.5" customHeight="1" x14ac:dyDescent="0.25">
      <c r="B14" s="3"/>
      <c r="C14" s="4">
        <f>IF(D14,20,0)</f>
        <v>0</v>
      </c>
      <c r="D14" t="b">
        <f>'New Interactive'!D14</f>
        <v>0</v>
      </c>
    </row>
    <row r="15" spans="2:12" ht="19.5" customHeight="1" x14ac:dyDescent="0.25">
      <c r="B15" s="3"/>
      <c r="C15" s="4">
        <f>IF(D15,20,0)</f>
        <v>0</v>
      </c>
      <c r="D15" t="b">
        <f>'New Interactive'!D15</f>
        <v>0</v>
      </c>
      <c r="K15" s="10" t="s">
        <v>11</v>
      </c>
      <c r="L15" s="12">
        <f>C23/100</f>
        <v>1</v>
      </c>
    </row>
    <row r="16" spans="2:12" ht="19.5" customHeight="1" x14ac:dyDescent="0.25">
      <c r="C16" s="1"/>
    </row>
    <row r="17" spans="2:7" ht="19.5" customHeight="1" x14ac:dyDescent="0.25">
      <c r="C17" s="1">
        <f>IF(D17,10,0)</f>
        <v>0</v>
      </c>
      <c r="D17" t="b">
        <f>'New Interactive'!D17</f>
        <v>0</v>
      </c>
    </row>
    <row r="18" spans="2:7" ht="19.5" customHeight="1" x14ac:dyDescent="0.25">
      <c r="C18" s="1">
        <f>IF(D18,5,0)</f>
        <v>0</v>
      </c>
      <c r="D18" t="b">
        <f>'New Interactive'!D18</f>
        <v>0</v>
      </c>
    </row>
    <row r="19" spans="2:7" ht="19.5" customHeight="1" x14ac:dyDescent="0.25">
      <c r="C19" s="1">
        <f>IF(D19,5,0)</f>
        <v>0</v>
      </c>
      <c r="D19" t="b">
        <f>'New Interactive'!D19</f>
        <v>0</v>
      </c>
    </row>
    <row r="20" spans="2:7" ht="19.5" customHeight="1" x14ac:dyDescent="0.25">
      <c r="C20" s="1"/>
    </row>
    <row r="21" spans="2:7" ht="19.5" customHeight="1" x14ac:dyDescent="0.25">
      <c r="C21" s="5">
        <f>IF(D21,100,0)</f>
        <v>0</v>
      </c>
      <c r="D21" t="b">
        <f>'New Interactive'!D21</f>
        <v>0</v>
      </c>
    </row>
    <row r="23" spans="2:7" ht="15.75" x14ac:dyDescent="0.25">
      <c r="B23" s="1" t="s">
        <v>43</v>
      </c>
      <c r="C23" s="6">
        <f>100-IF(C24&lt;=0,100,SUM(C3:C22))</f>
        <v>100</v>
      </c>
      <c r="F23" s="15" t="s">
        <v>14</v>
      </c>
      <c r="G23" s="24" t="str">
        <f>IF(C23&gt;=81,'[1]Data Old'!C15,'[1]Data Old'!C14)</f>
        <v>No action required</v>
      </c>
    </row>
    <row r="24" spans="2:7" x14ac:dyDescent="0.25">
      <c r="C24">
        <f>100-SUM(C3:C21)</f>
        <v>100</v>
      </c>
    </row>
  </sheetData>
  <conditionalFormatting sqref="L15">
    <cfRule type="cellIs" dxfId="5" priority="3" operator="lessThanOrEqual">
      <formula>0.45</formula>
    </cfRule>
    <cfRule type="cellIs" dxfId="4" priority="4" operator="between">
      <formula>46%</formula>
      <formula>80%</formula>
    </cfRule>
    <cfRule type="cellIs" dxfId="3" priority="5" operator="between">
      <formula>0.81</formula>
      <formula>0.99</formula>
    </cfRule>
    <cfRule type="cellIs" dxfId="2" priority="6" operator="equal">
      <formula>1</formula>
    </cfRule>
  </conditionalFormatting>
  <conditionalFormatting sqref="G23">
    <cfRule type="containsText" dxfId="1" priority="1" operator="containsText" text="Text message/email sent to gang supervisor">
      <formula>NOT(ISERROR(SEARCH("Text message/email sent to gang supervisor",G23)))</formula>
    </cfRule>
    <cfRule type="containsText" dxfId="0" priority="2" operator="containsText" text="No action required">
      <formula>NOT(ISERROR(SEARCH("No action required",G23)))</formula>
    </cfRule>
  </conditionalFormatting>
  <pageMargins left="0.7" right="0.7" top="0.75" bottom="0.75" header="0.3" footer="0.3"/>
  <pageSetup paperSize="9" scale="8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0</xdr:col>
                    <xdr:colOff>438150</xdr:colOff>
                    <xdr:row>1</xdr:row>
                    <xdr:rowOff>238125</xdr:rowOff>
                  </from>
                  <to>
                    <xdr:col>1</xdr:col>
                    <xdr:colOff>1562100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0</xdr:col>
                    <xdr:colOff>438150</xdr:colOff>
                    <xdr:row>3</xdr:row>
                    <xdr:rowOff>66675</xdr:rowOff>
                  </from>
                  <to>
                    <xdr:col>1</xdr:col>
                    <xdr:colOff>809625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0</xdr:col>
                    <xdr:colOff>438150</xdr:colOff>
                    <xdr:row>4</xdr:row>
                    <xdr:rowOff>66675</xdr:rowOff>
                  </from>
                  <to>
                    <xdr:col>1</xdr:col>
                    <xdr:colOff>1847850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0</xdr:col>
                    <xdr:colOff>438150</xdr:colOff>
                    <xdr:row>5</xdr:row>
                    <xdr:rowOff>66675</xdr:rowOff>
                  </from>
                  <to>
                    <xdr:col>1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0</xdr:col>
                    <xdr:colOff>438150</xdr:colOff>
                    <xdr:row>7</xdr:row>
                    <xdr:rowOff>76200</xdr:rowOff>
                  </from>
                  <to>
                    <xdr:col>1</xdr:col>
                    <xdr:colOff>1266825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0</xdr:col>
                    <xdr:colOff>438150</xdr:colOff>
                    <xdr:row>8</xdr:row>
                    <xdr:rowOff>57150</xdr:rowOff>
                  </from>
                  <to>
                    <xdr:col>1</xdr:col>
                    <xdr:colOff>1943100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0</xdr:col>
                    <xdr:colOff>438150</xdr:colOff>
                    <xdr:row>9</xdr:row>
                    <xdr:rowOff>85725</xdr:rowOff>
                  </from>
                  <to>
                    <xdr:col>1</xdr:col>
                    <xdr:colOff>1457325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0</xdr:col>
                    <xdr:colOff>438150</xdr:colOff>
                    <xdr:row>10</xdr:row>
                    <xdr:rowOff>76200</xdr:rowOff>
                  </from>
                  <to>
                    <xdr:col>1</xdr:col>
                    <xdr:colOff>2124075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0</xdr:col>
                    <xdr:colOff>438150</xdr:colOff>
                    <xdr:row>11</xdr:row>
                    <xdr:rowOff>66675</xdr:rowOff>
                  </from>
                  <to>
                    <xdr:col>1</xdr:col>
                    <xdr:colOff>1343025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0</xdr:col>
                    <xdr:colOff>438150</xdr:colOff>
                    <xdr:row>13</xdr:row>
                    <xdr:rowOff>66675</xdr:rowOff>
                  </from>
                  <to>
                    <xdr:col>1</xdr:col>
                    <xdr:colOff>1200150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0</xdr:col>
                    <xdr:colOff>438150</xdr:colOff>
                    <xdr:row>14</xdr:row>
                    <xdr:rowOff>66675</xdr:rowOff>
                  </from>
                  <to>
                    <xdr:col>1</xdr:col>
                    <xdr:colOff>1152525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0</xdr:col>
                    <xdr:colOff>438150</xdr:colOff>
                    <xdr:row>16</xdr:row>
                    <xdr:rowOff>66675</xdr:rowOff>
                  </from>
                  <to>
                    <xdr:col>1</xdr:col>
                    <xdr:colOff>866775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0</xdr:col>
                    <xdr:colOff>438150</xdr:colOff>
                    <xdr:row>17</xdr:row>
                    <xdr:rowOff>76200</xdr:rowOff>
                  </from>
                  <to>
                    <xdr:col>1</xdr:col>
                    <xdr:colOff>857250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0</xdr:col>
                    <xdr:colOff>438150</xdr:colOff>
                    <xdr:row>18</xdr:row>
                    <xdr:rowOff>76200</xdr:rowOff>
                  </from>
                  <to>
                    <xdr:col>1</xdr:col>
                    <xdr:colOff>666750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0</xdr:col>
                    <xdr:colOff>447675</xdr:colOff>
                    <xdr:row>20</xdr:row>
                    <xdr:rowOff>66675</xdr:rowOff>
                  </from>
                  <to>
                    <xdr:col>1</xdr:col>
                    <xdr:colOff>847725</xdr:colOff>
                    <xdr:row>21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6"/>
  <sheetViews>
    <sheetView workbookViewId="0">
      <selection activeCell="E4" sqref="E4"/>
    </sheetView>
  </sheetViews>
  <sheetFormatPr defaultRowHeight="15" x14ac:dyDescent="0.25"/>
  <sheetData>
    <row r="2" spans="1:5" x14ac:dyDescent="0.25">
      <c r="A2" s="1" t="s">
        <v>10</v>
      </c>
      <c r="D2" s="1" t="s">
        <v>8</v>
      </c>
    </row>
    <row r="3" spans="1:5" x14ac:dyDescent="0.25">
      <c r="A3" t="s">
        <v>2</v>
      </c>
      <c r="B3">
        <v>0</v>
      </c>
      <c r="D3" t="s">
        <v>0</v>
      </c>
      <c r="E3">
        <f>SUM('Interactive Old'!C23)</f>
        <v>100</v>
      </c>
    </row>
    <row r="4" spans="1:5" x14ac:dyDescent="0.25">
      <c r="A4" t="s">
        <v>3</v>
      </c>
      <c r="B4">
        <v>62</v>
      </c>
      <c r="D4" t="s">
        <v>9</v>
      </c>
      <c r="E4">
        <v>1</v>
      </c>
    </row>
    <row r="5" spans="1:5" x14ac:dyDescent="0.25">
      <c r="A5" t="s">
        <v>6</v>
      </c>
      <c r="B5">
        <v>27</v>
      </c>
      <c r="D5" t="s">
        <v>5</v>
      </c>
      <c r="E5">
        <v>100</v>
      </c>
    </row>
    <row r="6" spans="1:5" x14ac:dyDescent="0.25">
      <c r="A6" t="s">
        <v>4</v>
      </c>
      <c r="B6">
        <v>9</v>
      </c>
    </row>
    <row r="7" spans="1:5" x14ac:dyDescent="0.25">
      <c r="A7" t="s">
        <v>7</v>
      </c>
      <c r="B7">
        <v>1</v>
      </c>
    </row>
    <row r="8" spans="1:5" x14ac:dyDescent="0.25">
      <c r="A8" t="s">
        <v>5</v>
      </c>
      <c r="B8">
        <v>100</v>
      </c>
    </row>
    <row r="13" spans="1:5" x14ac:dyDescent="0.25">
      <c r="A13" t="s">
        <v>13</v>
      </c>
      <c r="B13" s="14"/>
      <c r="C13" t="s">
        <v>12</v>
      </c>
    </row>
    <row r="14" spans="1:5" x14ac:dyDescent="0.25">
      <c r="B14" s="11"/>
      <c r="C14" s="4" t="s">
        <v>44</v>
      </c>
    </row>
    <row r="15" spans="1:5" x14ac:dyDescent="0.25">
      <c r="B15" s="13"/>
      <c r="C15" t="s">
        <v>45</v>
      </c>
    </row>
    <row r="16" spans="1:5" x14ac:dyDescent="0.25">
      <c r="B16" s="9"/>
      <c r="C16" t="s">
        <v>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New Interactive</vt:lpstr>
      <vt:lpstr>JCI Breakdown</vt:lpstr>
      <vt:lpstr>Data New</vt:lpstr>
      <vt:lpstr>Interactive Old</vt:lpstr>
      <vt:lpstr>Data Old</vt:lpstr>
      <vt:lpstr>'Interactive Old'!Print_Area</vt:lpstr>
      <vt:lpstr>'JCI Breakdown'!Print_Area</vt:lpstr>
      <vt:lpstr>'New Interactive'!Print_Area</vt:lpstr>
    </vt:vector>
  </TitlesOfParts>
  <Company>Fusion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Hennessy</dc:creator>
  <cp:lastModifiedBy>Nick Mark</cp:lastModifiedBy>
  <cp:lastPrinted>2013-05-29T10:47:52Z</cp:lastPrinted>
  <dcterms:created xsi:type="dcterms:W3CDTF">2013-04-18T09:01:35Z</dcterms:created>
  <dcterms:modified xsi:type="dcterms:W3CDTF">2014-06-02T13:05:25Z</dcterms:modified>
</cp:coreProperties>
</file>